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\Projects\qldc\reporting\nov-23\"/>
    </mc:Choice>
  </mc:AlternateContent>
  <xr:revisionPtr revIDLastSave="0" documentId="13_ncr:1_{51097D7F-2ACD-45E0-945B-3A2ED42716A0}" xr6:coauthVersionLast="47" xr6:coauthVersionMax="47" xr10:uidLastSave="{00000000-0000-0000-0000-000000000000}"/>
  <bookViews>
    <workbookView xWindow="28680" yWindow="180" windowWidth="29040" windowHeight="15840" activeTab="1" xr2:uid="{63FF500B-7BBF-4689-90F1-EC8170F07554}"/>
  </bookViews>
  <sheets>
    <sheet name="Sheet4" sheetId="4" r:id="rId1"/>
    <sheet name="Sheet1" sheetId="1" r:id="rId2"/>
    <sheet name="Sheet2" sheetId="2" r:id="rId3"/>
    <sheet name="Sheet3" sheetId="3" r:id="rId4"/>
  </sheets>
  <functionGroups builtInGroupCount="19"/>
  <definedNames>
    <definedName name="_xlnm._FilterDatabase" localSheetId="1" hidden="1">Sheet1!$A$2:$S$210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6" i="1" l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P4" i="1"/>
  <c r="Q4" i="1"/>
  <c r="R4" i="1"/>
  <c r="S4" i="1"/>
  <c r="P5" i="1"/>
  <c r="Q5" i="1"/>
  <c r="R5" i="1"/>
  <c r="S5" i="1"/>
  <c r="P6" i="1"/>
  <c r="Q6" i="1"/>
  <c r="R6" i="1"/>
  <c r="S6" i="1"/>
  <c r="P7" i="1"/>
  <c r="Q7" i="1"/>
  <c r="R7" i="1"/>
  <c r="S7" i="1"/>
  <c r="P8" i="1"/>
  <c r="Q8" i="1"/>
  <c r="R8" i="1"/>
  <c r="S8" i="1"/>
  <c r="P9" i="1"/>
  <c r="Q9" i="1"/>
  <c r="R9" i="1"/>
  <c r="S9" i="1"/>
  <c r="P10" i="1"/>
  <c r="Q10" i="1"/>
  <c r="R10" i="1"/>
  <c r="S10" i="1"/>
  <c r="P11" i="1"/>
  <c r="Q11" i="1"/>
  <c r="R11" i="1"/>
  <c r="S11" i="1"/>
  <c r="P12" i="1"/>
  <c r="Q12" i="1"/>
  <c r="R12" i="1"/>
  <c r="S12" i="1"/>
  <c r="P13" i="1"/>
  <c r="Q13" i="1"/>
  <c r="R13" i="1"/>
  <c r="S13" i="1"/>
  <c r="P14" i="1"/>
  <c r="Q14" i="1"/>
  <c r="R14" i="1"/>
  <c r="S14" i="1"/>
  <c r="P15" i="1"/>
  <c r="Q15" i="1"/>
  <c r="R15" i="1"/>
  <c r="S15" i="1"/>
  <c r="P16" i="1"/>
  <c r="Q16" i="1"/>
  <c r="R16" i="1"/>
  <c r="S16" i="1"/>
  <c r="P17" i="1"/>
  <c r="Q17" i="1"/>
  <c r="R17" i="1"/>
  <c r="S17" i="1"/>
  <c r="P18" i="1"/>
  <c r="Q18" i="1"/>
  <c r="R18" i="1"/>
  <c r="S18" i="1"/>
  <c r="P19" i="1"/>
  <c r="Q19" i="1"/>
  <c r="R19" i="1"/>
  <c r="S19" i="1"/>
  <c r="P20" i="1"/>
  <c r="Q20" i="1"/>
  <c r="R20" i="1"/>
  <c r="S20" i="1"/>
  <c r="P21" i="1"/>
  <c r="Q21" i="1"/>
  <c r="R21" i="1"/>
  <c r="S21" i="1"/>
  <c r="P22" i="1"/>
  <c r="Q22" i="1"/>
  <c r="R22" i="1"/>
  <c r="S22" i="1"/>
  <c r="P23" i="1"/>
  <c r="Q23" i="1"/>
  <c r="R23" i="1"/>
  <c r="S23" i="1"/>
  <c r="P24" i="1"/>
  <c r="Q24" i="1"/>
  <c r="R24" i="1"/>
  <c r="S24" i="1"/>
  <c r="P25" i="1"/>
  <c r="Q25" i="1"/>
  <c r="R25" i="1"/>
  <c r="S25" i="1"/>
  <c r="P26" i="1"/>
  <c r="Q26" i="1"/>
  <c r="R26" i="1"/>
  <c r="S26" i="1"/>
  <c r="P27" i="1"/>
  <c r="Q27" i="1"/>
  <c r="R27" i="1"/>
  <c r="S27" i="1"/>
  <c r="P28" i="1"/>
  <c r="Q28" i="1"/>
  <c r="R28" i="1"/>
  <c r="S28" i="1"/>
  <c r="P29" i="1"/>
  <c r="Q29" i="1"/>
  <c r="R29" i="1"/>
  <c r="S29" i="1"/>
  <c r="P30" i="1"/>
  <c r="Q30" i="1"/>
  <c r="R30" i="1"/>
  <c r="S30" i="1"/>
  <c r="P31" i="1"/>
  <c r="Q31" i="1"/>
  <c r="R31" i="1"/>
  <c r="S31" i="1"/>
  <c r="P32" i="1"/>
  <c r="Q32" i="1"/>
  <c r="R32" i="1"/>
  <c r="S32" i="1"/>
  <c r="P33" i="1"/>
  <c r="Q33" i="1"/>
  <c r="R33" i="1"/>
  <c r="S33" i="1"/>
  <c r="P34" i="1"/>
  <c r="Q34" i="1"/>
  <c r="R34" i="1"/>
  <c r="S34" i="1"/>
  <c r="P35" i="1"/>
  <c r="Q35" i="1"/>
  <c r="R35" i="1"/>
  <c r="S35" i="1"/>
  <c r="P36" i="1"/>
  <c r="Q36" i="1"/>
  <c r="R36" i="1"/>
  <c r="S36" i="1"/>
  <c r="P37" i="1"/>
  <c r="Q37" i="1"/>
  <c r="R37" i="1"/>
  <c r="S37" i="1"/>
  <c r="P38" i="1"/>
  <c r="Q38" i="1"/>
  <c r="R38" i="1"/>
  <c r="S38" i="1"/>
  <c r="P39" i="1"/>
  <c r="Q39" i="1"/>
  <c r="R39" i="1"/>
  <c r="S39" i="1"/>
  <c r="P40" i="1"/>
  <c r="Q40" i="1"/>
  <c r="R40" i="1"/>
  <c r="S40" i="1"/>
  <c r="P41" i="1"/>
  <c r="Q41" i="1"/>
  <c r="R41" i="1"/>
  <c r="S41" i="1"/>
  <c r="P42" i="1"/>
  <c r="Q42" i="1"/>
  <c r="R42" i="1"/>
  <c r="S42" i="1"/>
  <c r="P43" i="1"/>
  <c r="Q43" i="1"/>
  <c r="R43" i="1"/>
  <c r="S43" i="1"/>
  <c r="P44" i="1"/>
  <c r="Q44" i="1"/>
  <c r="R44" i="1"/>
  <c r="S44" i="1"/>
  <c r="P45" i="1"/>
  <c r="Q45" i="1"/>
  <c r="R45" i="1"/>
  <c r="S45" i="1"/>
  <c r="P46" i="1"/>
  <c r="Q46" i="1"/>
  <c r="R46" i="1"/>
  <c r="S46" i="1"/>
  <c r="P47" i="1"/>
  <c r="Q47" i="1"/>
  <c r="R47" i="1"/>
  <c r="S47" i="1"/>
  <c r="P48" i="1"/>
  <c r="Q48" i="1"/>
  <c r="R48" i="1"/>
  <c r="S48" i="1"/>
  <c r="P49" i="1"/>
  <c r="Q49" i="1"/>
  <c r="R49" i="1"/>
  <c r="S49" i="1"/>
  <c r="P50" i="1"/>
  <c r="Q50" i="1"/>
  <c r="R50" i="1"/>
  <c r="S50" i="1"/>
  <c r="P51" i="1"/>
  <c r="Q51" i="1"/>
  <c r="R51" i="1"/>
  <c r="S51" i="1"/>
  <c r="P52" i="1"/>
  <c r="Q52" i="1"/>
  <c r="R52" i="1"/>
  <c r="S52" i="1"/>
  <c r="P53" i="1"/>
  <c r="Q53" i="1"/>
  <c r="R53" i="1"/>
  <c r="S53" i="1"/>
  <c r="P54" i="1"/>
  <c r="Q54" i="1"/>
  <c r="R54" i="1"/>
  <c r="S54" i="1"/>
  <c r="P55" i="1"/>
  <c r="Q55" i="1"/>
  <c r="R55" i="1"/>
  <c r="S55" i="1"/>
  <c r="P56" i="1"/>
  <c r="Q56" i="1"/>
  <c r="R56" i="1"/>
  <c r="S56" i="1"/>
  <c r="P57" i="1"/>
  <c r="Q57" i="1"/>
  <c r="R57" i="1"/>
  <c r="S57" i="1"/>
  <c r="P58" i="1"/>
  <c r="Q58" i="1"/>
  <c r="R58" i="1"/>
  <c r="S58" i="1"/>
  <c r="P59" i="1"/>
  <c r="Q59" i="1"/>
  <c r="R59" i="1"/>
  <c r="S59" i="1"/>
  <c r="P60" i="1"/>
  <c r="Q60" i="1"/>
  <c r="R60" i="1"/>
  <c r="S60" i="1"/>
  <c r="P61" i="1"/>
  <c r="Q61" i="1"/>
  <c r="R61" i="1"/>
  <c r="S61" i="1"/>
  <c r="P62" i="1"/>
  <c r="Q62" i="1"/>
  <c r="R62" i="1"/>
  <c r="S62" i="1"/>
  <c r="P63" i="1"/>
  <c r="Q63" i="1"/>
  <c r="R63" i="1"/>
  <c r="S63" i="1"/>
  <c r="P64" i="1"/>
  <c r="Q64" i="1"/>
  <c r="R64" i="1"/>
  <c r="S64" i="1"/>
  <c r="P65" i="1"/>
  <c r="Q65" i="1"/>
  <c r="R65" i="1"/>
  <c r="S65" i="1"/>
  <c r="P66" i="1"/>
  <c r="Q66" i="1"/>
  <c r="R66" i="1"/>
  <c r="S66" i="1"/>
  <c r="P67" i="1"/>
  <c r="Q67" i="1"/>
  <c r="R67" i="1"/>
  <c r="S67" i="1"/>
  <c r="P68" i="1"/>
  <c r="Q68" i="1"/>
  <c r="R68" i="1"/>
  <c r="S68" i="1"/>
  <c r="P69" i="1"/>
  <c r="Q69" i="1"/>
  <c r="R69" i="1"/>
  <c r="S69" i="1"/>
  <c r="P70" i="1"/>
  <c r="Q70" i="1"/>
  <c r="R70" i="1"/>
  <c r="S70" i="1"/>
  <c r="P71" i="1"/>
  <c r="Q71" i="1"/>
  <c r="R71" i="1"/>
  <c r="S71" i="1"/>
  <c r="P72" i="1"/>
  <c r="Q72" i="1"/>
  <c r="R72" i="1"/>
  <c r="S72" i="1"/>
  <c r="P73" i="1"/>
  <c r="Q73" i="1"/>
  <c r="R73" i="1"/>
  <c r="S73" i="1"/>
  <c r="P74" i="1"/>
  <c r="Q74" i="1"/>
  <c r="R74" i="1"/>
  <c r="S74" i="1"/>
  <c r="P75" i="1"/>
  <c r="Q75" i="1"/>
  <c r="R75" i="1"/>
  <c r="S75" i="1"/>
  <c r="P76" i="1"/>
  <c r="Q76" i="1"/>
  <c r="R76" i="1"/>
  <c r="S76" i="1"/>
  <c r="P77" i="1"/>
  <c r="Q77" i="1"/>
  <c r="R77" i="1"/>
  <c r="S77" i="1"/>
  <c r="P78" i="1"/>
  <c r="Q78" i="1"/>
  <c r="R78" i="1"/>
  <c r="S78" i="1"/>
  <c r="P79" i="1"/>
  <c r="Q79" i="1"/>
  <c r="R79" i="1"/>
  <c r="S79" i="1"/>
  <c r="P80" i="1"/>
  <c r="Q80" i="1"/>
  <c r="R80" i="1"/>
  <c r="S80" i="1"/>
  <c r="P81" i="1"/>
  <c r="Q81" i="1"/>
  <c r="R81" i="1"/>
  <c r="S81" i="1"/>
  <c r="P82" i="1"/>
  <c r="Q82" i="1"/>
  <c r="R82" i="1"/>
  <c r="S82" i="1"/>
  <c r="P83" i="1"/>
  <c r="Q83" i="1"/>
  <c r="R83" i="1"/>
  <c r="S83" i="1"/>
  <c r="P84" i="1"/>
  <c r="Q84" i="1"/>
  <c r="R84" i="1"/>
  <c r="S84" i="1"/>
  <c r="P85" i="1"/>
  <c r="Q85" i="1"/>
  <c r="R85" i="1"/>
  <c r="S85" i="1"/>
  <c r="P86" i="1"/>
  <c r="Q86" i="1"/>
  <c r="R86" i="1"/>
  <c r="S86" i="1"/>
  <c r="P87" i="1"/>
  <c r="Q87" i="1"/>
  <c r="R87" i="1"/>
  <c r="S87" i="1"/>
  <c r="P88" i="1"/>
  <c r="Q88" i="1"/>
  <c r="R88" i="1"/>
  <c r="S88" i="1"/>
  <c r="P89" i="1"/>
  <c r="Q89" i="1"/>
  <c r="R89" i="1"/>
  <c r="S89" i="1"/>
  <c r="P90" i="1"/>
  <c r="Q90" i="1"/>
  <c r="R90" i="1"/>
  <c r="S90" i="1"/>
  <c r="P91" i="1"/>
  <c r="Q91" i="1"/>
  <c r="R91" i="1"/>
  <c r="S91" i="1"/>
  <c r="P92" i="1"/>
  <c r="Q92" i="1"/>
  <c r="R92" i="1"/>
  <c r="S92" i="1"/>
  <c r="P93" i="1"/>
  <c r="Q93" i="1"/>
  <c r="R93" i="1"/>
  <c r="S93" i="1"/>
  <c r="P94" i="1"/>
  <c r="Q94" i="1"/>
  <c r="R94" i="1"/>
  <c r="S94" i="1"/>
  <c r="P95" i="1"/>
  <c r="Q95" i="1"/>
  <c r="R95" i="1"/>
  <c r="S95" i="1"/>
  <c r="P96" i="1"/>
  <c r="Q96" i="1"/>
  <c r="R96" i="1"/>
  <c r="S96" i="1"/>
  <c r="P97" i="1"/>
  <c r="Q97" i="1"/>
  <c r="R97" i="1"/>
  <c r="S97" i="1"/>
  <c r="P98" i="1"/>
  <c r="Q98" i="1"/>
  <c r="R98" i="1"/>
  <c r="S98" i="1"/>
  <c r="P99" i="1"/>
  <c r="Q99" i="1"/>
  <c r="R99" i="1"/>
  <c r="S99" i="1"/>
  <c r="P100" i="1"/>
  <c r="Q100" i="1"/>
  <c r="R100" i="1"/>
  <c r="S100" i="1"/>
  <c r="P101" i="1"/>
  <c r="Q101" i="1"/>
  <c r="R101" i="1"/>
  <c r="S101" i="1"/>
  <c r="P102" i="1"/>
  <c r="Q102" i="1"/>
  <c r="R102" i="1"/>
  <c r="S102" i="1"/>
  <c r="P103" i="1"/>
  <c r="Q103" i="1"/>
  <c r="R103" i="1"/>
  <c r="S103" i="1"/>
  <c r="P104" i="1"/>
  <c r="Q104" i="1"/>
  <c r="R104" i="1"/>
  <c r="S104" i="1"/>
  <c r="P105" i="1"/>
  <c r="Q105" i="1"/>
  <c r="R105" i="1"/>
  <c r="S105" i="1"/>
  <c r="P106" i="1"/>
  <c r="Q106" i="1"/>
  <c r="R106" i="1"/>
  <c r="S106" i="1"/>
  <c r="P107" i="1"/>
  <c r="Q107" i="1"/>
  <c r="R107" i="1"/>
  <c r="S107" i="1"/>
  <c r="P108" i="1"/>
  <c r="Q108" i="1"/>
  <c r="R108" i="1"/>
  <c r="S108" i="1"/>
  <c r="P109" i="1"/>
  <c r="Q109" i="1"/>
  <c r="R109" i="1"/>
  <c r="S109" i="1"/>
  <c r="P110" i="1"/>
  <c r="Q110" i="1"/>
  <c r="R110" i="1"/>
  <c r="S110" i="1"/>
  <c r="P111" i="1"/>
  <c r="Q111" i="1"/>
  <c r="R111" i="1"/>
  <c r="S111" i="1"/>
  <c r="P112" i="1"/>
  <c r="Q112" i="1"/>
  <c r="R112" i="1"/>
  <c r="S112" i="1"/>
  <c r="P113" i="1"/>
  <c r="Q113" i="1"/>
  <c r="R113" i="1"/>
  <c r="S113" i="1"/>
  <c r="P114" i="1"/>
  <c r="Q114" i="1"/>
  <c r="R114" i="1"/>
  <c r="S114" i="1"/>
  <c r="P115" i="1"/>
  <c r="Q115" i="1"/>
  <c r="R115" i="1"/>
  <c r="S115" i="1"/>
  <c r="P116" i="1"/>
  <c r="Q116" i="1"/>
  <c r="R116" i="1"/>
  <c r="S116" i="1"/>
  <c r="P117" i="1"/>
  <c r="Q117" i="1"/>
  <c r="R117" i="1"/>
  <c r="S117" i="1"/>
  <c r="P118" i="1"/>
  <c r="Q118" i="1"/>
  <c r="R118" i="1"/>
  <c r="S118" i="1"/>
  <c r="P119" i="1"/>
  <c r="Q119" i="1"/>
  <c r="R119" i="1"/>
  <c r="S119" i="1"/>
  <c r="P120" i="1"/>
  <c r="Q120" i="1"/>
  <c r="R120" i="1"/>
  <c r="S120" i="1"/>
  <c r="P121" i="1"/>
  <c r="Q121" i="1"/>
  <c r="R121" i="1"/>
  <c r="S121" i="1"/>
  <c r="P122" i="1"/>
  <c r="Q122" i="1"/>
  <c r="R122" i="1"/>
  <c r="S122" i="1"/>
  <c r="P123" i="1"/>
  <c r="Q123" i="1"/>
  <c r="R123" i="1"/>
  <c r="S123" i="1"/>
  <c r="P124" i="1"/>
  <c r="Q124" i="1"/>
  <c r="R124" i="1"/>
  <c r="S124" i="1"/>
  <c r="P125" i="1"/>
  <c r="Q125" i="1"/>
  <c r="R125" i="1"/>
  <c r="S125" i="1"/>
  <c r="P126" i="1"/>
  <c r="Q126" i="1"/>
  <c r="R126" i="1"/>
  <c r="S126" i="1"/>
  <c r="P127" i="1"/>
  <c r="Q127" i="1"/>
  <c r="R127" i="1"/>
  <c r="S127" i="1"/>
  <c r="P128" i="1"/>
  <c r="Q128" i="1"/>
  <c r="R128" i="1"/>
  <c r="S128" i="1"/>
  <c r="P129" i="1"/>
  <c r="Q129" i="1"/>
  <c r="R129" i="1"/>
  <c r="S129" i="1"/>
  <c r="P130" i="1"/>
  <c r="Q130" i="1"/>
  <c r="R130" i="1"/>
  <c r="S130" i="1"/>
  <c r="P131" i="1"/>
  <c r="Q131" i="1"/>
  <c r="R131" i="1"/>
  <c r="S131" i="1"/>
  <c r="P132" i="1"/>
  <c r="Q132" i="1"/>
  <c r="R132" i="1"/>
  <c r="S132" i="1"/>
  <c r="P133" i="1"/>
  <c r="Q133" i="1"/>
  <c r="R133" i="1"/>
  <c r="S133" i="1"/>
  <c r="P134" i="1"/>
  <c r="Q134" i="1"/>
  <c r="R134" i="1"/>
  <c r="S134" i="1"/>
  <c r="P135" i="1"/>
  <c r="Q135" i="1"/>
  <c r="R135" i="1"/>
  <c r="S135" i="1"/>
  <c r="P136" i="1"/>
  <c r="Q136" i="1"/>
  <c r="R136" i="1"/>
  <c r="S136" i="1"/>
  <c r="P137" i="1"/>
  <c r="Q137" i="1"/>
  <c r="R137" i="1"/>
  <c r="S137" i="1"/>
  <c r="P138" i="1"/>
  <c r="Q138" i="1"/>
  <c r="R138" i="1"/>
  <c r="S138" i="1"/>
  <c r="P139" i="1"/>
  <c r="Q139" i="1"/>
  <c r="R139" i="1"/>
  <c r="S139" i="1"/>
  <c r="P140" i="1"/>
  <c r="Q140" i="1"/>
  <c r="R140" i="1"/>
  <c r="S140" i="1"/>
  <c r="P141" i="1"/>
  <c r="Q141" i="1"/>
  <c r="R141" i="1"/>
  <c r="S141" i="1"/>
  <c r="P142" i="1"/>
  <c r="Q142" i="1"/>
  <c r="R142" i="1"/>
  <c r="S142" i="1"/>
  <c r="P143" i="1"/>
  <c r="Q143" i="1"/>
  <c r="R143" i="1"/>
  <c r="S143" i="1"/>
  <c r="P144" i="1"/>
  <c r="Q144" i="1"/>
  <c r="R144" i="1"/>
  <c r="S144" i="1"/>
  <c r="P145" i="1"/>
  <c r="Q145" i="1"/>
  <c r="R145" i="1"/>
  <c r="S145" i="1"/>
  <c r="P146" i="1"/>
  <c r="Q146" i="1"/>
  <c r="R146" i="1"/>
  <c r="S146" i="1"/>
  <c r="P147" i="1"/>
  <c r="Q147" i="1"/>
  <c r="R147" i="1"/>
  <c r="S147" i="1"/>
  <c r="P148" i="1"/>
  <c r="Q148" i="1"/>
  <c r="R148" i="1"/>
  <c r="S148" i="1"/>
  <c r="P149" i="1"/>
  <c r="Q149" i="1"/>
  <c r="R149" i="1"/>
  <c r="S149" i="1"/>
  <c r="P150" i="1"/>
  <c r="Q150" i="1"/>
  <c r="R150" i="1"/>
  <c r="S150" i="1"/>
  <c r="P151" i="1"/>
  <c r="Q151" i="1"/>
  <c r="R151" i="1"/>
  <c r="S151" i="1"/>
  <c r="P152" i="1"/>
  <c r="Q152" i="1"/>
  <c r="R152" i="1"/>
  <c r="S152" i="1"/>
  <c r="P153" i="1"/>
  <c r="Q153" i="1"/>
  <c r="R153" i="1"/>
  <c r="S153" i="1"/>
  <c r="P154" i="1"/>
  <c r="Q154" i="1"/>
  <c r="R154" i="1"/>
  <c r="S154" i="1"/>
  <c r="P155" i="1"/>
  <c r="Q155" i="1"/>
  <c r="R155" i="1"/>
  <c r="S155" i="1"/>
  <c r="P156" i="1"/>
  <c r="Q156" i="1"/>
  <c r="R156" i="1"/>
  <c r="S156" i="1"/>
  <c r="P157" i="1"/>
  <c r="Q157" i="1"/>
  <c r="R157" i="1"/>
  <c r="S157" i="1"/>
  <c r="P158" i="1"/>
  <c r="Q158" i="1"/>
  <c r="R158" i="1"/>
  <c r="S158" i="1"/>
  <c r="P159" i="1"/>
  <c r="Q159" i="1"/>
  <c r="R159" i="1"/>
  <c r="S159" i="1"/>
  <c r="P160" i="1"/>
  <c r="Q160" i="1"/>
  <c r="R160" i="1"/>
  <c r="S160" i="1"/>
  <c r="P161" i="1"/>
  <c r="Q161" i="1"/>
  <c r="R161" i="1"/>
  <c r="S161" i="1"/>
  <c r="P162" i="1"/>
  <c r="Q162" i="1"/>
  <c r="R162" i="1"/>
  <c r="S162" i="1"/>
  <c r="P163" i="1"/>
  <c r="Q163" i="1"/>
  <c r="R163" i="1"/>
  <c r="S163" i="1"/>
  <c r="P164" i="1"/>
  <c r="Q164" i="1"/>
  <c r="R164" i="1"/>
  <c r="S164" i="1"/>
  <c r="P165" i="1"/>
  <c r="Q165" i="1"/>
  <c r="R165" i="1"/>
  <c r="S165" i="1"/>
  <c r="P166" i="1"/>
  <c r="Q166" i="1"/>
  <c r="R166" i="1"/>
  <c r="S166" i="1"/>
  <c r="P167" i="1"/>
  <c r="Q167" i="1"/>
  <c r="R167" i="1"/>
  <c r="S167" i="1"/>
  <c r="P168" i="1"/>
  <c r="Q168" i="1"/>
  <c r="R168" i="1"/>
  <c r="S168" i="1"/>
  <c r="P169" i="1"/>
  <c r="Q169" i="1"/>
  <c r="R169" i="1"/>
  <c r="S169" i="1"/>
  <c r="P170" i="1"/>
  <c r="Q170" i="1"/>
  <c r="R170" i="1"/>
  <c r="S170" i="1"/>
  <c r="P171" i="1"/>
  <c r="Q171" i="1"/>
  <c r="R171" i="1"/>
  <c r="S171" i="1"/>
  <c r="P172" i="1"/>
  <c r="Q172" i="1"/>
  <c r="R172" i="1"/>
  <c r="S172" i="1"/>
  <c r="P173" i="1"/>
  <c r="Q173" i="1"/>
  <c r="R173" i="1"/>
  <c r="S173" i="1"/>
  <c r="P174" i="1"/>
  <c r="Q174" i="1"/>
  <c r="R174" i="1"/>
  <c r="S174" i="1"/>
  <c r="P175" i="1"/>
  <c r="Q175" i="1"/>
  <c r="R175" i="1"/>
  <c r="S175" i="1"/>
  <c r="P176" i="1"/>
  <c r="Q176" i="1"/>
  <c r="R176" i="1"/>
  <c r="S176" i="1"/>
  <c r="P177" i="1"/>
  <c r="Q177" i="1"/>
  <c r="R177" i="1"/>
  <c r="S177" i="1"/>
  <c r="P178" i="1"/>
  <c r="Q178" i="1"/>
  <c r="R178" i="1"/>
  <c r="S178" i="1"/>
  <c r="P179" i="1"/>
  <c r="Q179" i="1"/>
  <c r="R179" i="1"/>
  <c r="S179" i="1"/>
  <c r="P180" i="1"/>
  <c r="Q180" i="1"/>
  <c r="R180" i="1"/>
  <c r="S180" i="1"/>
  <c r="P181" i="1"/>
  <c r="Q181" i="1"/>
  <c r="R181" i="1"/>
  <c r="S181" i="1"/>
  <c r="P182" i="1"/>
  <c r="Q182" i="1"/>
  <c r="R182" i="1"/>
  <c r="S182" i="1"/>
  <c r="P183" i="1"/>
  <c r="Q183" i="1"/>
  <c r="R183" i="1"/>
  <c r="S183" i="1"/>
  <c r="P184" i="1"/>
  <c r="Q184" i="1"/>
  <c r="R184" i="1"/>
  <c r="S184" i="1"/>
  <c r="P185" i="1"/>
  <c r="Q185" i="1"/>
  <c r="R185" i="1"/>
  <c r="S185" i="1"/>
  <c r="P186" i="1"/>
  <c r="Q186" i="1"/>
  <c r="R186" i="1"/>
  <c r="S186" i="1"/>
  <c r="P187" i="1"/>
  <c r="Q187" i="1"/>
  <c r="R187" i="1"/>
  <c r="S187" i="1"/>
  <c r="P188" i="1"/>
  <c r="Q188" i="1"/>
  <c r="R188" i="1"/>
  <c r="S188" i="1"/>
  <c r="P189" i="1"/>
  <c r="Q189" i="1"/>
  <c r="R189" i="1"/>
  <c r="S189" i="1"/>
  <c r="P190" i="1"/>
  <c r="Q190" i="1"/>
  <c r="R190" i="1"/>
  <c r="S190" i="1"/>
  <c r="P191" i="1"/>
  <c r="Q191" i="1"/>
  <c r="R191" i="1"/>
  <c r="S191" i="1"/>
  <c r="P192" i="1"/>
  <c r="Q192" i="1"/>
  <c r="R192" i="1"/>
  <c r="S192" i="1"/>
  <c r="P193" i="1"/>
  <c r="Q193" i="1"/>
  <c r="R193" i="1"/>
  <c r="S193" i="1"/>
  <c r="P194" i="1"/>
  <c r="Q194" i="1"/>
  <c r="R194" i="1"/>
  <c r="S194" i="1"/>
  <c r="P195" i="1"/>
  <c r="Q195" i="1"/>
  <c r="R195" i="1"/>
  <c r="S195" i="1"/>
  <c r="P196" i="1"/>
  <c r="Q196" i="1"/>
  <c r="R196" i="1"/>
  <c r="S196" i="1"/>
  <c r="P197" i="1"/>
  <c r="Q197" i="1"/>
  <c r="R197" i="1"/>
  <c r="S197" i="1"/>
  <c r="P198" i="1"/>
  <c r="Q198" i="1"/>
  <c r="R198" i="1"/>
  <c r="S198" i="1"/>
  <c r="P199" i="1"/>
  <c r="Q199" i="1"/>
  <c r="R199" i="1"/>
  <c r="S199" i="1"/>
  <c r="P200" i="1"/>
  <c r="Q200" i="1"/>
  <c r="R200" i="1"/>
  <c r="S200" i="1"/>
  <c r="P201" i="1"/>
  <c r="Q201" i="1"/>
  <c r="R201" i="1"/>
  <c r="S201" i="1"/>
  <c r="P202" i="1"/>
  <c r="Q202" i="1"/>
  <c r="R202" i="1"/>
  <c r="S202" i="1"/>
  <c r="P203" i="1"/>
  <c r="Q203" i="1"/>
  <c r="R203" i="1"/>
  <c r="S203" i="1"/>
  <c r="P204" i="1"/>
  <c r="Q204" i="1"/>
  <c r="R204" i="1"/>
  <c r="S204" i="1"/>
  <c r="P205" i="1"/>
  <c r="Q205" i="1"/>
  <c r="R205" i="1"/>
  <c r="S205" i="1"/>
  <c r="P206" i="1"/>
  <c r="Q206" i="1"/>
  <c r="R206" i="1"/>
  <c r="S206" i="1"/>
  <c r="P207" i="1"/>
  <c r="Q207" i="1"/>
  <c r="R207" i="1"/>
  <c r="S207" i="1"/>
  <c r="P208" i="1"/>
  <c r="Q208" i="1"/>
  <c r="R208" i="1"/>
  <c r="S208" i="1"/>
  <c r="P209" i="1"/>
  <c r="Q209" i="1"/>
  <c r="R209" i="1"/>
  <c r="S209" i="1"/>
  <c r="P210" i="1"/>
  <c r="Q210" i="1"/>
  <c r="R210" i="1"/>
  <c r="S210" i="1"/>
  <c r="Q3" i="1"/>
  <c r="P3" i="1"/>
  <c r="S3" i="1"/>
  <c r="R3" i="1"/>
  <c r="I3" i="1"/>
  <c r="N3" i="1" s="1"/>
  <c r="I4" i="1"/>
  <c r="J4" i="1" s="1"/>
  <c r="I5" i="1"/>
  <c r="I6" i="1"/>
  <c r="I7" i="1"/>
  <c r="I8" i="1"/>
  <c r="I9" i="1"/>
  <c r="I10" i="1"/>
  <c r="I11" i="1"/>
  <c r="I12" i="1"/>
  <c r="I13" i="1"/>
  <c r="I14" i="1"/>
  <c r="I15" i="1"/>
  <c r="I2" i="1"/>
  <c r="L122" i="1" a="1"/>
  <c r="L8" i="1" a="1"/>
  <c r="L82" i="1" a="1"/>
  <c r="L150" i="1" a="1"/>
  <c r="L7" i="1" a="1"/>
  <c r="L126" i="1" a="1"/>
  <c r="L147" i="1" a="1"/>
  <c r="L127" i="1" a="1"/>
  <c r="L161" i="1" a="1"/>
  <c r="L44" i="1" a="1"/>
  <c r="L26" i="1" a="1"/>
  <c r="L33" i="1" a="1"/>
  <c r="L140" i="1" a="1"/>
  <c r="L28" i="1" a="1"/>
  <c r="L14" i="1" a="1"/>
  <c r="L116" i="1" a="1"/>
  <c r="L205" i="1" a="1"/>
  <c r="L155" i="1" a="1"/>
  <c r="L174" i="1" a="1"/>
  <c r="L77" i="1" a="1"/>
  <c r="L148" i="1" a="1"/>
  <c r="L20" i="1" a="1"/>
  <c r="L207" i="1" a="1"/>
  <c r="L204" i="1" a="1"/>
  <c r="L40" i="1" a="1"/>
  <c r="L27" i="1" a="1"/>
  <c r="L24" i="1" a="1"/>
  <c r="L13" i="1" a="1"/>
  <c r="L181" i="1" a="1"/>
  <c r="L72" i="1" a="1"/>
  <c r="L130" i="1" a="1"/>
  <c r="L151" i="1" a="1"/>
  <c r="L133" i="1" a="1"/>
  <c r="L9" i="1" a="1"/>
  <c r="L118" i="1" a="1"/>
  <c r="L112" i="1" a="1"/>
  <c r="L160" i="1" a="1"/>
  <c r="L142" i="1" a="1"/>
  <c r="L177" i="1" a="1"/>
  <c r="L19" i="1" a="1"/>
  <c r="L56" i="1" a="1"/>
  <c r="L166" i="1" a="1"/>
  <c r="L152" i="1" a="1"/>
  <c r="L105" i="1" a="1"/>
  <c r="L108" i="1" a="1"/>
  <c r="L165" i="1" a="1"/>
  <c r="L5" i="1" a="1"/>
  <c r="L94" i="1" a="1"/>
  <c r="L184" i="1" a="1"/>
  <c r="L55" i="1" a="1"/>
  <c r="L139" i="1" a="1"/>
  <c r="L61" i="1" a="1"/>
  <c r="L60" i="1" a="1"/>
  <c r="L194" i="1" a="1"/>
  <c r="L109" i="1" a="1"/>
  <c r="L59" i="1" a="1"/>
  <c r="L104" i="1" a="1"/>
  <c r="L106" i="1" a="1"/>
  <c r="L15" i="1" a="1"/>
  <c r="L36" i="1" a="1"/>
  <c r="L144" i="1" a="1"/>
  <c r="L145" i="1" a="1"/>
  <c r="L83" i="1" a="1"/>
  <c r="L71" i="1" a="1"/>
  <c r="L35" i="1" a="1"/>
  <c r="L146" i="1" a="1"/>
  <c r="L103" i="1" a="1"/>
  <c r="L18" i="1" a="1"/>
  <c r="L176" i="1" a="1"/>
  <c r="L183" i="1" a="1"/>
  <c r="L66" i="1" a="1"/>
  <c r="L53" i="1" a="1"/>
  <c r="L62" i="1" a="1"/>
  <c r="L197" i="1" a="1"/>
  <c r="L123" i="1" a="1"/>
  <c r="L91" i="1" a="1"/>
  <c r="L186" i="1" a="1"/>
  <c r="L187" i="1" a="1"/>
  <c r="L111" i="1" a="1"/>
  <c r="L107" i="1" a="1"/>
  <c r="L136" i="1" a="1"/>
  <c r="L6" i="1" a="1"/>
  <c r="L58" i="1" a="1"/>
  <c r="L164" i="1" a="1"/>
  <c r="L185" i="1" a="1"/>
  <c r="L73" i="1" a="1"/>
  <c r="L102" i="1" a="1"/>
  <c r="L32" i="1" a="1"/>
  <c r="L121" i="1" a="1"/>
  <c r="L124" i="1" a="1"/>
  <c r="L54" i="1" a="1"/>
  <c r="L175" i="1" a="1"/>
  <c r="L39" i="1" a="1"/>
  <c r="L202" i="1" a="1"/>
  <c r="L47" i="1" a="1"/>
  <c r="L87" i="1" a="1"/>
  <c r="L149" i="1" a="1"/>
  <c r="L98" i="1" a="1"/>
  <c r="L167" i="1" a="1"/>
  <c r="L168" i="1" a="1"/>
  <c r="L163" i="1" a="1"/>
  <c r="L42" i="1" a="1"/>
  <c r="L120" i="1" a="1"/>
  <c r="L110" i="1" a="1"/>
  <c r="L190" i="1" a="1"/>
  <c r="L115" i="1" a="1"/>
  <c r="L3" i="1" a="1"/>
  <c r="L16" i="1" a="1"/>
  <c r="L198" i="1" a="1"/>
  <c r="L17" i="1" a="1"/>
  <c r="L64" i="1" a="1"/>
  <c r="L79" i="1" a="1"/>
  <c r="L65" i="1" a="1"/>
  <c r="L37" i="1" a="1"/>
  <c r="L158" i="1" a="1"/>
  <c r="L178" i="1" a="1"/>
  <c r="L101" i="1" a="1"/>
  <c r="L45" i="1" a="1"/>
  <c r="L171" i="1" a="1"/>
  <c r="L193" i="1" a="1"/>
  <c r="L153" i="1" a="1"/>
  <c r="L191" i="1" a="1"/>
  <c r="L76" i="1" a="1"/>
  <c r="L38" i="1" a="1"/>
  <c r="L46" i="1" a="1"/>
  <c r="L203" i="1" a="1"/>
  <c r="L29" i="1" a="1"/>
  <c r="L162" i="1" a="1"/>
  <c r="L169" i="1" a="1"/>
  <c r="L157" i="1" a="1"/>
  <c r="L173" i="1" a="1"/>
  <c r="L78" i="1" a="1"/>
  <c r="L188" i="1" a="1"/>
  <c r="L90" i="1" a="1"/>
  <c r="L51" i="1" a="1"/>
  <c r="L50" i="1" a="1"/>
  <c r="L208" i="1" a="1"/>
  <c r="L99" i="1" a="1"/>
  <c r="L113" i="1" a="1"/>
  <c r="L31" i="1" a="1"/>
  <c r="L172" i="1" a="1"/>
  <c r="L131" i="1" a="1"/>
  <c r="L154" i="1" a="1"/>
  <c r="L12" i="1" a="1"/>
  <c r="L182" i="1" a="1"/>
  <c r="L195" i="1" a="1"/>
  <c r="L210" i="1" a="1"/>
  <c r="L67" i="1" a="1"/>
  <c r="L189" i="1" a="1"/>
  <c r="L96" i="1" a="1"/>
  <c r="L25" i="1" a="1"/>
  <c r="L11" i="1" a="1"/>
  <c r="L196" i="1" a="1"/>
  <c r="L68" i="1" a="1"/>
  <c r="L143" i="1" a="1"/>
  <c r="L141" i="1" a="1"/>
  <c r="L41" i="1" a="1"/>
  <c r="L200" i="1" a="1"/>
  <c r="L48" i="1" a="1"/>
  <c r="L89" i="1" a="1"/>
  <c r="L10" i="1" a="1"/>
  <c r="L23" i="1" a="1"/>
  <c r="L85" i="1" a="1"/>
  <c r="L86" i="1" a="1"/>
  <c r="L119" i="1" a="1"/>
  <c r="L209" i="1" a="1"/>
  <c r="L93" i="1" a="1"/>
  <c r="L135" i="1" a="1"/>
  <c r="L128" i="1" a="1"/>
  <c r="L30" i="1" a="1"/>
  <c r="L114" i="1" a="1"/>
  <c r="L81" i="1" a="1"/>
  <c r="L137" i="1" a="1"/>
  <c r="L75" i="1" a="1"/>
  <c r="L92" i="1" a="1"/>
  <c r="L199" i="1" a="1"/>
  <c r="L21" i="1" a="1"/>
  <c r="L138" i="1" a="1"/>
  <c r="L100" i="1" a="1"/>
  <c r="L129" i="1" a="1"/>
  <c r="L84" i="1" a="1"/>
  <c r="L95" i="1" a="1"/>
  <c r="L156" i="1" a="1"/>
  <c r="L69" i="1" a="1"/>
  <c r="L88" i="1" a="1"/>
  <c r="L134" i="1" a="1"/>
  <c r="L22" i="1" a="1"/>
  <c r="L159" i="1" a="1"/>
  <c r="L97" i="1" a="1"/>
  <c r="L70" i="1" a="1"/>
  <c r="L170" i="1" a="1"/>
  <c r="L180" i="1" a="1"/>
  <c r="L43" i="1" a="1"/>
  <c r="L179" i="1" a="1"/>
  <c r="L192" i="1" a="1"/>
  <c r="L63" i="1" a="1"/>
  <c r="L125" i="1" a="1"/>
  <c r="L74" i="1" a="1"/>
  <c r="L49" i="1" a="1"/>
  <c r="L52" i="1" a="1"/>
  <c r="L201" i="1" a="1"/>
  <c r="L132" i="1" a="1"/>
  <c r="L117" i="1" a="1"/>
  <c r="L34" i="1" a="1"/>
  <c r="L4" i="1" a="1"/>
  <c r="L80" i="1" a="1"/>
  <c r="L57" i="1" a="1"/>
  <c r="L206" i="1" a="1"/>
  <c r="L170" i="1" l="1"/>
  <c r="L159" i="1"/>
  <c r="L146" i="1"/>
  <c r="L124" i="1"/>
  <c r="L172" i="1"/>
  <c r="L161" i="1"/>
  <c r="L137" i="1"/>
  <c r="L210" i="1"/>
  <c r="L208" i="1"/>
  <c r="L206" i="1"/>
  <c r="L204" i="1"/>
  <c r="L202" i="1"/>
  <c r="L200" i="1"/>
  <c r="L198" i="1"/>
  <c r="L196" i="1"/>
  <c r="L194" i="1"/>
  <c r="L192" i="1"/>
  <c r="L190" i="1"/>
  <c r="L188" i="1"/>
  <c r="L186" i="1"/>
  <c r="L184" i="1"/>
  <c r="L182" i="1"/>
  <c r="L180" i="1"/>
  <c r="L178" i="1"/>
  <c r="L176" i="1"/>
  <c r="L174" i="1"/>
  <c r="L163" i="1"/>
  <c r="L150" i="1"/>
  <c r="L139" i="1"/>
  <c r="L126" i="1"/>
  <c r="L114" i="1"/>
  <c r="L102" i="1"/>
  <c r="L90" i="1"/>
  <c r="L128" i="1"/>
  <c r="L167" i="1"/>
  <c r="L154" i="1"/>
  <c r="L143" i="1"/>
  <c r="L130" i="1"/>
  <c r="L116" i="1"/>
  <c r="L104" i="1"/>
  <c r="L92" i="1"/>
  <c r="L80" i="1"/>
  <c r="L169" i="1"/>
  <c r="L156" i="1"/>
  <c r="L165" i="1"/>
  <c r="L132" i="1"/>
  <c r="L171" i="1"/>
  <c r="L158" i="1"/>
  <c r="L147" i="1"/>
  <c r="L134" i="1"/>
  <c r="L118" i="1"/>
  <c r="L106" i="1"/>
  <c r="L94" i="1"/>
  <c r="L82" i="1"/>
  <c r="L152" i="1"/>
  <c r="L145" i="1"/>
  <c r="L173" i="1"/>
  <c r="L160" i="1"/>
  <c r="L149" i="1"/>
  <c r="L136" i="1"/>
  <c r="L209" i="1"/>
  <c r="L189" i="1"/>
  <c r="L162" i="1"/>
  <c r="L96" i="1"/>
  <c r="L84" i="1"/>
  <c r="L207" i="1"/>
  <c r="L201" i="1"/>
  <c r="L197" i="1"/>
  <c r="L191" i="1"/>
  <c r="L185" i="1"/>
  <c r="L183" i="1"/>
  <c r="L181" i="1"/>
  <c r="L179" i="1"/>
  <c r="L177" i="1"/>
  <c r="L151" i="1"/>
  <c r="L120" i="1"/>
  <c r="L108" i="1"/>
  <c r="L164" i="1"/>
  <c r="L153" i="1"/>
  <c r="L140" i="1"/>
  <c r="L129" i="1"/>
  <c r="L141" i="1"/>
  <c r="L205" i="1"/>
  <c r="L199" i="1"/>
  <c r="L195" i="1"/>
  <c r="L187" i="1"/>
  <c r="L175" i="1"/>
  <c r="L166" i="1"/>
  <c r="L155" i="1"/>
  <c r="L142" i="1"/>
  <c r="L131" i="1"/>
  <c r="L122" i="1"/>
  <c r="L110" i="1"/>
  <c r="L98" i="1"/>
  <c r="L86" i="1"/>
  <c r="L203" i="1"/>
  <c r="L193" i="1"/>
  <c r="L138" i="1"/>
  <c r="L127" i="1"/>
  <c r="L168" i="1"/>
  <c r="L157" i="1"/>
  <c r="L144" i="1"/>
  <c r="L133" i="1"/>
  <c r="L135" i="1"/>
  <c r="L112" i="1"/>
  <c r="L100" i="1"/>
  <c r="L88" i="1"/>
  <c r="L148" i="1"/>
  <c r="L125" i="1"/>
  <c r="L123" i="1"/>
  <c r="L121" i="1"/>
  <c r="L119" i="1"/>
  <c r="L117" i="1"/>
  <c r="L115" i="1"/>
  <c r="L113" i="1"/>
  <c r="L111" i="1"/>
  <c r="L109" i="1"/>
  <c r="L107" i="1"/>
  <c r="L105" i="1"/>
  <c r="L103" i="1"/>
  <c r="L101" i="1"/>
  <c r="L99" i="1"/>
  <c r="L97" i="1"/>
  <c r="L95" i="1"/>
  <c r="L93" i="1"/>
  <c r="L91" i="1"/>
  <c r="L89" i="1"/>
  <c r="L87" i="1"/>
  <c r="L85" i="1"/>
  <c r="L83" i="1"/>
  <c r="L81" i="1"/>
  <c r="L79" i="1"/>
  <c r="L77" i="1"/>
  <c r="L75" i="1"/>
  <c r="L73" i="1"/>
  <c r="L71" i="1"/>
  <c r="L69" i="1"/>
  <c r="L67" i="1"/>
  <c r="L65" i="1"/>
  <c r="L63" i="1"/>
  <c r="L61" i="1"/>
  <c r="L59" i="1"/>
  <c r="L57" i="1"/>
  <c r="L55" i="1"/>
  <c r="L53" i="1"/>
  <c r="L51" i="1"/>
  <c r="L49" i="1"/>
  <c r="L47" i="1"/>
  <c r="L45" i="1"/>
  <c r="L43" i="1"/>
  <c r="L41" i="1"/>
  <c r="L39" i="1"/>
  <c r="L37" i="1"/>
  <c r="L35" i="1"/>
  <c r="L33" i="1"/>
  <c r="L31" i="1"/>
  <c r="L29" i="1"/>
  <c r="L27" i="1"/>
  <c r="L25" i="1"/>
  <c r="L23" i="1"/>
  <c r="L21" i="1"/>
  <c r="L19" i="1"/>
  <c r="L17" i="1"/>
  <c r="L15" i="1"/>
  <c r="L13" i="1"/>
  <c r="L11" i="1"/>
  <c r="L9" i="1"/>
  <c r="L7" i="1"/>
  <c r="L5" i="1"/>
  <c r="L78" i="1"/>
  <c r="L76" i="1"/>
  <c r="L74" i="1"/>
  <c r="L72" i="1"/>
  <c r="L70" i="1"/>
  <c r="L68" i="1"/>
  <c r="L66" i="1"/>
  <c r="L64" i="1"/>
  <c r="L62" i="1"/>
  <c r="L60" i="1"/>
  <c r="L58" i="1"/>
  <c r="L56" i="1"/>
  <c r="L54" i="1"/>
  <c r="L52" i="1"/>
  <c r="L50" i="1"/>
  <c r="L48" i="1"/>
  <c r="L46" i="1"/>
  <c r="L44" i="1"/>
  <c r="L42" i="1"/>
  <c r="L40" i="1"/>
  <c r="L38" i="1"/>
  <c r="L36" i="1"/>
  <c r="L34" i="1"/>
  <c r="L32" i="1"/>
  <c r="L30" i="1"/>
  <c r="L28" i="1"/>
  <c r="L26" i="1"/>
  <c r="L24" i="1"/>
  <c r="L22" i="1"/>
  <c r="L20" i="1"/>
  <c r="L18" i="1"/>
  <c r="L16" i="1"/>
  <c r="L14" i="1"/>
  <c r="L12" i="1"/>
  <c r="L10" i="1"/>
  <c r="L8" i="1"/>
  <c r="L6" i="1"/>
  <c r="L4" i="1"/>
  <c r="L3" i="1"/>
  <c r="J5" i="1"/>
  <c r="M3" i="1"/>
  <c r="M4" i="1" s="1"/>
  <c r="M5" i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M105" i="1" s="1"/>
  <c r="M106" i="1" s="1"/>
  <c r="M107" i="1" s="1"/>
  <c r="M108" i="1" s="1"/>
  <c r="M109" i="1" s="1"/>
  <c r="M110" i="1" s="1"/>
  <c r="M111" i="1" s="1"/>
  <c r="M112" i="1" s="1"/>
  <c r="M113" i="1" s="1"/>
  <c r="M114" i="1" s="1"/>
  <c r="M115" i="1" s="1"/>
  <c r="M116" i="1" s="1"/>
  <c r="M117" i="1" s="1"/>
  <c r="M118" i="1" s="1"/>
  <c r="M119" i="1" s="1"/>
  <c r="M120" i="1" s="1"/>
  <c r="M121" i="1" s="1"/>
  <c r="M122" i="1" s="1"/>
  <c r="M123" i="1" s="1"/>
  <c r="M124" i="1" s="1"/>
  <c r="M125" i="1" s="1"/>
  <c r="M126" i="1" s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M159" i="1" s="1"/>
  <c r="M160" i="1" s="1"/>
  <c r="M161" i="1" s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M173" i="1" s="1"/>
  <c r="M174" i="1" s="1"/>
  <c r="M175" i="1" s="1"/>
  <c r="M176" i="1" s="1"/>
  <c r="M177" i="1" s="1"/>
  <c r="M178" i="1" s="1"/>
  <c r="M179" i="1" s="1"/>
  <c r="M180" i="1" s="1"/>
  <c r="M181" i="1" s="1"/>
  <c r="M182" i="1" s="1"/>
  <c r="M183" i="1" s="1"/>
  <c r="M184" i="1" s="1"/>
  <c r="M185" i="1" s="1"/>
  <c r="M186" i="1" s="1"/>
  <c r="M187" i="1" s="1"/>
  <c r="M188" i="1" s="1"/>
  <c r="M189" i="1" s="1"/>
  <c r="M190" i="1" s="1"/>
  <c r="M191" i="1" s="1"/>
  <c r="M192" i="1" s="1"/>
  <c r="M193" i="1" s="1"/>
  <c r="M194" i="1" s="1"/>
  <c r="M195" i="1" s="1"/>
  <c r="M196" i="1" s="1"/>
  <c r="M197" i="1" s="1"/>
  <c r="M198" i="1" s="1"/>
  <c r="M199" i="1" s="1"/>
  <c r="M200" i="1" s="1"/>
  <c r="M201" i="1" s="1"/>
  <c r="M202" i="1" s="1"/>
  <c r="M203" i="1" s="1"/>
  <c r="M204" i="1" s="1"/>
  <c r="M205" i="1" s="1"/>
  <c r="M206" i="1" s="1"/>
  <c r="M207" i="1" s="1"/>
  <c r="M208" i="1" s="1"/>
  <c r="M209" i="1" s="1"/>
  <c r="M210" i="1" s="1"/>
  <c r="J6" i="1" l="1"/>
  <c r="J7" i="1" l="1"/>
  <c r="J8" i="1" l="1"/>
  <c r="J9" i="1" l="1"/>
  <c r="J10" i="1" l="1"/>
  <c r="J11" i="1" l="1"/>
  <c r="J12" i="1" l="1"/>
  <c r="J13" i="1" l="1"/>
  <c r="J14" i="1" l="1"/>
  <c r="J15" i="1" l="1"/>
  <c r="J16" i="1" l="1"/>
  <c r="J17" i="1" l="1"/>
  <c r="J18" i="1" l="1"/>
  <c r="J19" i="1" l="1"/>
  <c r="J20" i="1" l="1"/>
  <c r="J21" i="1" l="1"/>
  <c r="J22" i="1" l="1"/>
  <c r="J23" i="1" l="1"/>
  <c r="J24" i="1" l="1"/>
  <c r="J25" i="1" l="1"/>
  <c r="J26" i="1" l="1"/>
  <c r="J27" i="1" l="1"/>
  <c r="J28" i="1" l="1"/>
  <c r="J29" i="1" l="1"/>
  <c r="J30" i="1" l="1"/>
  <c r="J31" i="1" l="1"/>
  <c r="J32" i="1" l="1"/>
  <c r="J33" i="1" l="1"/>
  <c r="J34" i="1" l="1"/>
  <c r="J35" i="1" l="1"/>
  <c r="J36" i="1" l="1"/>
  <c r="J37" i="1" l="1"/>
  <c r="J38" i="1" l="1"/>
  <c r="J39" i="1" l="1"/>
  <c r="J40" i="1" l="1"/>
  <c r="J41" i="1" l="1"/>
  <c r="J42" i="1" l="1"/>
  <c r="J43" i="1" l="1"/>
  <c r="J44" i="1" l="1"/>
  <c r="J45" i="1" l="1"/>
  <c r="J46" i="1" l="1"/>
  <c r="J47" i="1" l="1"/>
  <c r="J48" i="1" l="1"/>
  <c r="J49" i="1" l="1"/>
  <c r="J50" i="1" l="1"/>
  <c r="J51" i="1" l="1"/>
  <c r="J52" i="1" l="1"/>
  <c r="J53" i="1" l="1"/>
  <c r="J54" i="1" l="1"/>
  <c r="J55" i="1" l="1"/>
  <c r="J56" i="1" l="1"/>
  <c r="J57" i="1" l="1"/>
  <c r="J58" i="1" l="1"/>
  <c r="J59" i="1" l="1"/>
  <c r="J60" i="1" l="1"/>
  <c r="J61" i="1" l="1"/>
  <c r="J62" i="1" l="1"/>
  <c r="J63" i="1" l="1"/>
  <c r="J64" i="1" l="1"/>
  <c r="J65" i="1" l="1"/>
  <c r="J66" i="1" l="1"/>
  <c r="J67" i="1" l="1"/>
  <c r="J68" i="1" l="1"/>
  <c r="J69" i="1" l="1"/>
  <c r="J70" i="1" l="1"/>
  <c r="J71" i="1" l="1"/>
  <c r="J72" i="1" l="1"/>
  <c r="J73" i="1" l="1"/>
  <c r="J74" i="1" l="1"/>
  <c r="J75" i="1" l="1"/>
  <c r="J76" i="1" l="1"/>
  <c r="J77" i="1" l="1"/>
  <c r="J78" i="1" l="1"/>
  <c r="J79" i="1" l="1"/>
  <c r="J80" i="1" l="1"/>
  <c r="J81" i="1" l="1"/>
  <c r="J82" i="1" l="1"/>
  <c r="J83" i="1" l="1"/>
  <c r="J84" i="1" l="1"/>
  <c r="J85" i="1" l="1"/>
  <c r="J86" i="1" l="1"/>
  <c r="J87" i="1" l="1"/>
  <c r="J88" i="1" l="1"/>
  <c r="J89" i="1" l="1"/>
  <c r="J90" i="1" l="1"/>
  <c r="J91" i="1" l="1"/>
  <c r="J92" i="1" l="1"/>
  <c r="J93" i="1" l="1"/>
  <c r="J94" i="1" l="1"/>
  <c r="J95" i="1" l="1"/>
  <c r="J96" i="1" l="1"/>
  <c r="J97" i="1" l="1"/>
  <c r="J98" i="1" l="1"/>
  <c r="J99" i="1" l="1"/>
  <c r="J100" i="1" l="1"/>
  <c r="J101" i="1" l="1"/>
  <c r="J102" i="1" l="1"/>
  <c r="J103" i="1" l="1"/>
  <c r="J104" i="1" l="1"/>
  <c r="J105" i="1" l="1"/>
  <c r="J106" i="1" l="1"/>
  <c r="J107" i="1" l="1"/>
  <c r="J108" i="1" l="1"/>
  <c r="J109" i="1" l="1"/>
  <c r="J110" i="1" l="1"/>
  <c r="J111" i="1" l="1"/>
  <c r="J112" i="1" l="1"/>
  <c r="J113" i="1" l="1"/>
  <c r="J114" i="1" l="1"/>
  <c r="J115" i="1" l="1"/>
  <c r="J116" i="1" l="1"/>
  <c r="J117" i="1" l="1"/>
  <c r="J118" i="1" l="1"/>
  <c r="J119" i="1" l="1"/>
  <c r="J120" i="1" l="1"/>
  <c r="J121" i="1" l="1"/>
  <c r="J122" i="1" l="1"/>
  <c r="J123" i="1" l="1"/>
  <c r="J124" i="1" l="1"/>
  <c r="J125" i="1" l="1"/>
  <c r="J126" i="1" l="1"/>
  <c r="J127" i="1" l="1"/>
  <c r="J128" i="1" l="1"/>
  <c r="J129" i="1" l="1"/>
  <c r="J130" i="1" l="1"/>
  <c r="J131" i="1" l="1"/>
  <c r="J132" i="1" l="1"/>
  <c r="J133" i="1" l="1"/>
  <c r="J134" i="1" l="1"/>
  <c r="J135" i="1" l="1"/>
  <c r="J136" i="1" l="1"/>
  <c r="J137" i="1" l="1"/>
  <c r="J138" i="1" l="1"/>
  <c r="J139" i="1" l="1"/>
  <c r="J140" i="1" l="1"/>
  <c r="J141" i="1" l="1"/>
  <c r="J142" i="1" l="1"/>
  <c r="J143" i="1" l="1"/>
  <c r="J144" i="1" l="1"/>
  <c r="J145" i="1" l="1"/>
  <c r="J146" i="1" l="1"/>
  <c r="J147" i="1" l="1"/>
  <c r="J148" i="1" l="1"/>
  <c r="J149" i="1" l="1"/>
  <c r="J150" i="1" l="1"/>
  <c r="J151" i="1" l="1"/>
  <c r="J152" i="1" l="1"/>
  <c r="J153" i="1" l="1"/>
  <c r="J154" i="1" l="1"/>
  <c r="J155" i="1" l="1"/>
  <c r="J156" i="1" l="1"/>
  <c r="J157" i="1" l="1"/>
  <c r="J158" i="1" l="1"/>
  <c r="J159" i="1" l="1"/>
  <c r="J160" i="1" l="1"/>
  <c r="J161" i="1" l="1"/>
  <c r="J162" i="1" l="1"/>
  <c r="J163" i="1" l="1"/>
  <c r="J164" i="1" l="1"/>
  <c r="J165" i="1" l="1"/>
  <c r="J166" i="1" l="1"/>
  <c r="J167" i="1" l="1"/>
  <c r="J168" i="1" l="1"/>
  <c r="J169" i="1" l="1"/>
  <c r="J170" i="1" l="1"/>
  <c r="J171" i="1" l="1"/>
  <c r="J172" i="1" l="1"/>
  <c r="J173" i="1" l="1"/>
  <c r="J174" i="1" l="1"/>
  <c r="J175" i="1" l="1"/>
  <c r="J176" i="1" l="1"/>
  <c r="J177" i="1" l="1"/>
  <c r="J178" i="1" l="1"/>
  <c r="J179" i="1" l="1"/>
  <c r="J180" i="1" l="1"/>
  <c r="J181" i="1" l="1"/>
  <c r="J182" i="1" l="1"/>
  <c r="J183" i="1" l="1"/>
  <c r="J184" i="1" l="1"/>
  <c r="J185" i="1" l="1"/>
  <c r="J186" i="1" l="1"/>
  <c r="J187" i="1" l="1"/>
  <c r="J188" i="1" l="1"/>
  <c r="J189" i="1" l="1"/>
  <c r="J190" i="1" l="1"/>
  <c r="J191" i="1" l="1"/>
  <c r="J192" i="1" l="1"/>
  <c r="J193" i="1" l="1"/>
  <c r="J194" i="1" l="1"/>
  <c r="J195" i="1" l="1"/>
  <c r="J196" i="1" l="1"/>
  <c r="J197" i="1" l="1"/>
  <c r="J198" i="1" l="1"/>
  <c r="J199" i="1" l="1"/>
  <c r="J200" i="1" l="1"/>
  <c r="J201" i="1" l="1"/>
  <c r="J202" i="1" l="1"/>
  <c r="J203" i="1" l="1"/>
  <c r="J204" i="1" l="1"/>
  <c r="J205" i="1" l="1"/>
  <c r="J206" i="1" l="1"/>
  <c r="J207" i="1" l="1"/>
  <c r="J208" i="1" l="1"/>
  <c r="J209" i="1" l="1"/>
  <c r="J210" i="1" l="1"/>
  <c r="K209" i="1"/>
  <c r="K207" i="1"/>
  <c r="K205" i="1"/>
  <c r="K201" i="1"/>
  <c r="O201" i="1" s="1"/>
  <c r="K203" i="1"/>
  <c r="O203" i="1" l="1"/>
  <c r="O205" i="1"/>
  <c r="O207" i="1"/>
  <c r="O209" i="1"/>
  <c r="K210" i="1"/>
  <c r="K4" i="1"/>
  <c r="K3" i="1"/>
  <c r="O3" i="1" s="1"/>
  <c r="K6" i="1"/>
  <c r="K5" i="1"/>
  <c r="O5" i="1" s="1"/>
  <c r="K7" i="1"/>
  <c r="O7" i="1" s="1"/>
  <c r="K10" i="1"/>
  <c r="O10" i="1" s="1"/>
  <c r="K8" i="1"/>
  <c r="O8" i="1" s="1"/>
  <c r="K9" i="1"/>
  <c r="O9" i="1" s="1"/>
  <c r="K11" i="1"/>
  <c r="O11" i="1" s="1"/>
  <c r="K12" i="1"/>
  <c r="K13" i="1"/>
  <c r="O13" i="1" s="1"/>
  <c r="K14" i="1"/>
  <c r="O14" i="1" s="1"/>
  <c r="K15" i="1"/>
  <c r="O15" i="1" s="1"/>
  <c r="K16" i="1"/>
  <c r="O16" i="1" s="1"/>
  <c r="K17" i="1"/>
  <c r="K18" i="1"/>
  <c r="O18" i="1" s="1"/>
  <c r="K19" i="1"/>
  <c r="O19" i="1" s="1"/>
  <c r="K20" i="1"/>
  <c r="O20" i="1" s="1"/>
  <c r="K21" i="1"/>
  <c r="O21" i="1" s="1"/>
  <c r="K22" i="1"/>
  <c r="K23" i="1"/>
  <c r="O23" i="1" s="1"/>
  <c r="K24" i="1"/>
  <c r="O24" i="1" s="1"/>
  <c r="K25" i="1"/>
  <c r="O25" i="1" s="1"/>
  <c r="K26" i="1"/>
  <c r="O26" i="1" s="1"/>
  <c r="K28" i="1"/>
  <c r="O28" i="1" s="1"/>
  <c r="K27" i="1"/>
  <c r="K29" i="1"/>
  <c r="O29" i="1" s="1"/>
  <c r="K30" i="1"/>
  <c r="O30" i="1" s="1"/>
  <c r="K32" i="1"/>
  <c r="K31" i="1"/>
  <c r="O31" i="1" s="1"/>
  <c r="K33" i="1"/>
  <c r="O33" i="1" s="1"/>
  <c r="K34" i="1"/>
  <c r="O34" i="1" s="1"/>
  <c r="K35" i="1"/>
  <c r="O35" i="1" s="1"/>
  <c r="K36" i="1"/>
  <c r="K37" i="1"/>
  <c r="O37" i="1" s="1"/>
  <c r="K38" i="1"/>
  <c r="O38" i="1" s="1"/>
  <c r="K39" i="1"/>
  <c r="O39" i="1" s="1"/>
  <c r="K40" i="1"/>
  <c r="K41" i="1"/>
  <c r="O41" i="1" s="1"/>
  <c r="K42" i="1"/>
  <c r="O42" i="1" s="1"/>
  <c r="K43" i="1"/>
  <c r="O43" i="1" s="1"/>
  <c r="K44" i="1"/>
  <c r="K45" i="1"/>
  <c r="O45" i="1" s="1"/>
  <c r="K46" i="1"/>
  <c r="O46" i="1" s="1"/>
  <c r="K47" i="1"/>
  <c r="O47" i="1" s="1"/>
  <c r="K48" i="1"/>
  <c r="O48" i="1" s="1"/>
  <c r="K49" i="1"/>
  <c r="K50" i="1"/>
  <c r="K51" i="1"/>
  <c r="K52" i="1"/>
  <c r="K53" i="1"/>
  <c r="O53" i="1" s="1"/>
  <c r="K54" i="1"/>
  <c r="K55" i="1"/>
  <c r="O55" i="1" s="1"/>
  <c r="K56" i="1"/>
  <c r="O56" i="1" s="1"/>
  <c r="K57" i="1"/>
  <c r="O57" i="1" s="1"/>
  <c r="K58" i="1"/>
  <c r="O58" i="1" s="1"/>
  <c r="K59" i="1"/>
  <c r="O59" i="1" s="1"/>
  <c r="K60" i="1"/>
  <c r="K61" i="1"/>
  <c r="O61" i="1" s="1"/>
  <c r="K62" i="1"/>
  <c r="O62" i="1" s="1"/>
  <c r="K63" i="1"/>
  <c r="O63" i="1" s="1"/>
  <c r="K64" i="1"/>
  <c r="O64" i="1" s="1"/>
  <c r="K65" i="1"/>
  <c r="K66" i="1"/>
  <c r="O66" i="1" s="1"/>
  <c r="K67" i="1"/>
  <c r="O67" i="1" s="1"/>
  <c r="K68" i="1"/>
  <c r="O68" i="1" s="1"/>
  <c r="K69" i="1"/>
  <c r="O69" i="1" s="1"/>
  <c r="K70" i="1"/>
  <c r="K71" i="1"/>
  <c r="O71" i="1" s="1"/>
  <c r="K72" i="1"/>
  <c r="O72" i="1" s="1"/>
  <c r="K73" i="1"/>
  <c r="O73" i="1" s="1"/>
  <c r="K74" i="1"/>
  <c r="O74" i="1" s="1"/>
  <c r="K75" i="1"/>
  <c r="O75" i="1" s="1"/>
  <c r="K76" i="1"/>
  <c r="K77" i="1"/>
  <c r="O77" i="1" s="1"/>
  <c r="K78" i="1"/>
  <c r="O78" i="1" s="1"/>
  <c r="K80" i="1"/>
  <c r="O80" i="1" s="1"/>
  <c r="K79" i="1"/>
  <c r="O79" i="1" s="1"/>
  <c r="K81" i="1"/>
  <c r="O81" i="1" s="1"/>
  <c r="K82" i="1"/>
  <c r="O82" i="1" s="1"/>
  <c r="K83" i="1"/>
  <c r="K84" i="1"/>
  <c r="K85" i="1"/>
  <c r="K86" i="1"/>
  <c r="K87" i="1"/>
  <c r="O87" i="1" s="1"/>
  <c r="K88" i="1"/>
  <c r="K89" i="1"/>
  <c r="K90" i="1"/>
  <c r="K91" i="1"/>
  <c r="K92" i="1"/>
  <c r="O92" i="1" s="1"/>
  <c r="K93" i="1"/>
  <c r="K94" i="1"/>
  <c r="K95" i="1"/>
  <c r="K96" i="1"/>
  <c r="K97" i="1"/>
  <c r="O97" i="1" s="1"/>
  <c r="K98" i="1"/>
  <c r="K99" i="1"/>
  <c r="K100" i="1"/>
  <c r="K101" i="1"/>
  <c r="K102" i="1"/>
  <c r="K103" i="1"/>
  <c r="O103" i="1" s="1"/>
  <c r="K104" i="1"/>
  <c r="K105" i="1"/>
  <c r="K106" i="1"/>
  <c r="K107" i="1"/>
  <c r="K108" i="1"/>
  <c r="O108" i="1" s="1"/>
  <c r="K109" i="1"/>
  <c r="K110" i="1"/>
  <c r="K111" i="1"/>
  <c r="K112" i="1"/>
  <c r="K113" i="1"/>
  <c r="K114" i="1"/>
  <c r="O114" i="1" s="1"/>
  <c r="K115" i="1"/>
  <c r="K116" i="1"/>
  <c r="K117" i="1"/>
  <c r="K118" i="1"/>
  <c r="K119" i="1"/>
  <c r="O119" i="1" s="1"/>
  <c r="K120" i="1"/>
  <c r="K121" i="1"/>
  <c r="K122" i="1"/>
  <c r="K123" i="1"/>
  <c r="K124" i="1"/>
  <c r="O124" i="1" s="1"/>
  <c r="K125" i="1"/>
  <c r="K126" i="1"/>
  <c r="K127" i="1"/>
  <c r="K128" i="1"/>
  <c r="K129" i="1"/>
  <c r="K130" i="1"/>
  <c r="O130" i="1" s="1"/>
  <c r="K131" i="1"/>
  <c r="K132" i="1"/>
  <c r="K133" i="1"/>
  <c r="K134" i="1"/>
  <c r="K135" i="1"/>
  <c r="O135" i="1" s="1"/>
  <c r="K136" i="1"/>
  <c r="O136" i="1" s="1"/>
  <c r="K137" i="1"/>
  <c r="K138" i="1"/>
  <c r="K139" i="1"/>
  <c r="K140" i="1"/>
  <c r="K141" i="1"/>
  <c r="K142" i="1"/>
  <c r="O142" i="1" s="1"/>
  <c r="K143" i="1"/>
  <c r="K144" i="1"/>
  <c r="K145" i="1"/>
  <c r="K146" i="1"/>
  <c r="K147" i="1"/>
  <c r="O147" i="1" s="1"/>
  <c r="K148" i="1"/>
  <c r="K149" i="1"/>
  <c r="K150" i="1"/>
  <c r="K151" i="1"/>
  <c r="K152" i="1"/>
  <c r="O152" i="1" s="1"/>
  <c r="K153" i="1"/>
  <c r="K154" i="1"/>
  <c r="K155" i="1"/>
  <c r="K156" i="1"/>
  <c r="K157" i="1"/>
  <c r="K158" i="1"/>
  <c r="O158" i="1" s="1"/>
  <c r="K159" i="1"/>
  <c r="K160" i="1"/>
  <c r="K161" i="1"/>
  <c r="K162" i="1"/>
  <c r="K163" i="1"/>
  <c r="K164" i="1"/>
  <c r="O164" i="1" s="1"/>
  <c r="K165" i="1"/>
  <c r="K166" i="1"/>
  <c r="K167" i="1"/>
  <c r="K168" i="1"/>
  <c r="K169" i="1"/>
  <c r="K170" i="1"/>
  <c r="O170" i="1" s="1"/>
  <c r="K171" i="1"/>
  <c r="K172" i="1"/>
  <c r="K173" i="1"/>
  <c r="K174" i="1"/>
  <c r="K175" i="1"/>
  <c r="O175" i="1" s="1"/>
  <c r="K176" i="1"/>
  <c r="K177" i="1"/>
  <c r="K178" i="1"/>
  <c r="K179" i="1"/>
  <c r="K180" i="1"/>
  <c r="O180" i="1" s="1"/>
  <c r="K181" i="1"/>
  <c r="K182" i="1"/>
  <c r="K183" i="1"/>
  <c r="K184" i="1"/>
  <c r="K185" i="1"/>
  <c r="K186" i="1"/>
  <c r="O186" i="1" s="1"/>
  <c r="K187" i="1"/>
  <c r="K188" i="1"/>
  <c r="K189" i="1"/>
  <c r="K190" i="1"/>
  <c r="K191" i="1"/>
  <c r="O191" i="1" s="1"/>
  <c r="K192" i="1"/>
  <c r="K193" i="1"/>
  <c r="K194" i="1"/>
  <c r="K195" i="1"/>
  <c r="K196" i="1"/>
  <c r="O196" i="1" s="1"/>
  <c r="K197" i="1"/>
  <c r="K198" i="1"/>
  <c r="K199" i="1"/>
  <c r="K206" i="1"/>
  <c r="O206" i="1" s="1"/>
  <c r="K208" i="1"/>
  <c r="K200" i="1"/>
  <c r="K204" i="1"/>
  <c r="K202" i="1"/>
  <c r="O208" i="1" l="1"/>
  <c r="O197" i="1"/>
  <c r="O185" i="1"/>
  <c r="O173" i="1"/>
  <c r="O161" i="1"/>
  <c r="O149" i="1"/>
  <c r="O137" i="1"/>
  <c r="O125" i="1"/>
  <c r="O113" i="1"/>
  <c r="O101" i="1"/>
  <c r="O89" i="1"/>
  <c r="O65" i="1"/>
  <c r="O17" i="1"/>
  <c r="N6" i="1"/>
  <c r="N7" i="1" s="1"/>
  <c r="N8" i="1" s="1"/>
  <c r="N9" i="1" s="1"/>
  <c r="N10" i="1" s="1"/>
  <c r="N11" i="1" s="1"/>
  <c r="O6" i="1"/>
  <c r="O172" i="1"/>
  <c r="O160" i="1"/>
  <c r="O148" i="1"/>
  <c r="O112" i="1"/>
  <c r="O100" i="1"/>
  <c r="O88" i="1"/>
  <c r="O76" i="1"/>
  <c r="O52" i="1"/>
  <c r="O40" i="1"/>
  <c r="O27" i="1"/>
  <c r="O171" i="1"/>
  <c r="O159" i="1"/>
  <c r="O123" i="1"/>
  <c r="O111" i="1"/>
  <c r="O99" i="1"/>
  <c r="O51" i="1"/>
  <c r="O4" i="1"/>
  <c r="N4" i="1"/>
  <c r="N5" i="1" s="1"/>
  <c r="O194" i="1"/>
  <c r="O182" i="1"/>
  <c r="O146" i="1"/>
  <c r="O134" i="1"/>
  <c r="O122" i="1"/>
  <c r="O110" i="1"/>
  <c r="O98" i="1"/>
  <c r="O86" i="1"/>
  <c r="O50" i="1"/>
  <c r="O210" i="1"/>
  <c r="O183" i="1"/>
  <c r="O193" i="1"/>
  <c r="O181" i="1"/>
  <c r="O169" i="1"/>
  <c r="O157" i="1"/>
  <c r="O145" i="1"/>
  <c r="O133" i="1"/>
  <c r="O121" i="1"/>
  <c r="O109" i="1"/>
  <c r="O85" i="1"/>
  <c r="O49" i="1"/>
  <c r="O195" i="1"/>
  <c r="O202" i="1"/>
  <c r="O192" i="1"/>
  <c r="O168" i="1"/>
  <c r="O156" i="1"/>
  <c r="O144" i="1"/>
  <c r="O132" i="1"/>
  <c r="O120" i="1"/>
  <c r="O96" i="1"/>
  <c r="O84" i="1"/>
  <c r="O60" i="1"/>
  <c r="O36" i="1"/>
  <c r="O12" i="1"/>
  <c r="N12" i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N45" i="1" s="1"/>
  <c r="N46" i="1" s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N105" i="1" s="1"/>
  <c r="N106" i="1" s="1"/>
  <c r="N107" i="1" s="1"/>
  <c r="N108" i="1" s="1"/>
  <c r="N109" i="1" s="1"/>
  <c r="N110" i="1" s="1"/>
  <c r="N111" i="1" s="1"/>
  <c r="N112" i="1" s="1"/>
  <c r="N113" i="1" s="1"/>
  <c r="N114" i="1" s="1"/>
  <c r="N115" i="1" s="1"/>
  <c r="N116" i="1" s="1"/>
  <c r="N117" i="1" s="1"/>
  <c r="N118" i="1" s="1"/>
  <c r="N119" i="1" s="1"/>
  <c r="N120" i="1" s="1"/>
  <c r="N121" i="1" s="1"/>
  <c r="N122" i="1" s="1"/>
  <c r="N123" i="1" s="1"/>
  <c r="N124" i="1" s="1"/>
  <c r="N125" i="1" s="1"/>
  <c r="N126" i="1" s="1"/>
  <c r="N127" i="1" s="1"/>
  <c r="N128" i="1" s="1"/>
  <c r="N129" i="1" s="1"/>
  <c r="N130" i="1" s="1"/>
  <c r="N131" i="1" s="1"/>
  <c r="N132" i="1" s="1"/>
  <c r="N133" i="1" s="1"/>
  <c r="N134" i="1" s="1"/>
  <c r="N135" i="1" s="1"/>
  <c r="N136" i="1" s="1"/>
  <c r="N137" i="1" s="1"/>
  <c r="N138" i="1" s="1"/>
  <c r="N139" i="1" s="1"/>
  <c r="N140" i="1" s="1"/>
  <c r="N141" i="1" s="1"/>
  <c r="N142" i="1" s="1"/>
  <c r="N143" i="1" s="1"/>
  <c r="N144" i="1" s="1"/>
  <c r="N145" i="1" s="1"/>
  <c r="N146" i="1" s="1"/>
  <c r="N147" i="1" s="1"/>
  <c r="N148" i="1" s="1"/>
  <c r="N149" i="1" s="1"/>
  <c r="N150" i="1" s="1"/>
  <c r="N151" i="1" s="1"/>
  <c r="N152" i="1" s="1"/>
  <c r="N153" i="1" s="1"/>
  <c r="N154" i="1" s="1"/>
  <c r="N155" i="1" s="1"/>
  <c r="N156" i="1" s="1"/>
  <c r="N157" i="1" s="1"/>
  <c r="N158" i="1" s="1"/>
  <c r="N159" i="1" s="1"/>
  <c r="N160" i="1" s="1"/>
  <c r="N161" i="1" s="1"/>
  <c r="N162" i="1" s="1"/>
  <c r="N163" i="1" s="1"/>
  <c r="N164" i="1" s="1"/>
  <c r="N165" i="1" s="1"/>
  <c r="N166" i="1" s="1"/>
  <c r="N167" i="1" s="1"/>
  <c r="N168" i="1" s="1"/>
  <c r="N169" i="1" s="1"/>
  <c r="N170" i="1" s="1"/>
  <c r="N171" i="1" s="1"/>
  <c r="N172" i="1" s="1"/>
  <c r="N173" i="1" s="1"/>
  <c r="N174" i="1" s="1"/>
  <c r="N175" i="1" s="1"/>
  <c r="N176" i="1" s="1"/>
  <c r="N177" i="1" s="1"/>
  <c r="N178" i="1" s="1"/>
  <c r="N179" i="1" s="1"/>
  <c r="N180" i="1" s="1"/>
  <c r="N181" i="1" s="1"/>
  <c r="N182" i="1" s="1"/>
  <c r="N183" i="1" s="1"/>
  <c r="N184" i="1" s="1"/>
  <c r="N185" i="1" s="1"/>
  <c r="N186" i="1" s="1"/>
  <c r="N187" i="1" s="1"/>
  <c r="N188" i="1" s="1"/>
  <c r="N189" i="1" s="1"/>
  <c r="N190" i="1" s="1"/>
  <c r="N191" i="1" s="1"/>
  <c r="N192" i="1" s="1"/>
  <c r="N193" i="1" s="1"/>
  <c r="N194" i="1" s="1"/>
  <c r="N195" i="1" s="1"/>
  <c r="N196" i="1" s="1"/>
  <c r="N197" i="1" s="1"/>
  <c r="N198" i="1" s="1"/>
  <c r="N199" i="1" s="1"/>
  <c r="N200" i="1" s="1"/>
  <c r="N201" i="1" s="1"/>
  <c r="N202" i="1" s="1"/>
  <c r="N203" i="1" s="1"/>
  <c r="N204" i="1" s="1"/>
  <c r="N205" i="1" s="1"/>
  <c r="N206" i="1" s="1"/>
  <c r="N207" i="1" s="1"/>
  <c r="N208" i="1" s="1"/>
  <c r="N209" i="1" s="1"/>
  <c r="N210" i="1" s="1"/>
  <c r="O204" i="1"/>
  <c r="O179" i="1"/>
  <c r="O167" i="1"/>
  <c r="O155" i="1"/>
  <c r="O143" i="1"/>
  <c r="O131" i="1"/>
  <c r="O107" i="1"/>
  <c r="O95" i="1"/>
  <c r="O83" i="1"/>
  <c r="O200" i="1"/>
  <c r="O190" i="1"/>
  <c r="O178" i="1"/>
  <c r="O166" i="1"/>
  <c r="O154" i="1"/>
  <c r="O118" i="1"/>
  <c r="O106" i="1"/>
  <c r="O94" i="1"/>
  <c r="O70" i="1"/>
  <c r="O22" i="1"/>
  <c r="O177" i="1"/>
  <c r="O165" i="1"/>
  <c r="O153" i="1"/>
  <c r="O141" i="1"/>
  <c r="O129" i="1"/>
  <c r="O117" i="1"/>
  <c r="O105" i="1"/>
  <c r="O93" i="1"/>
  <c r="O184" i="1"/>
  <c r="O188" i="1"/>
  <c r="O176" i="1"/>
  <c r="O140" i="1"/>
  <c r="O128" i="1"/>
  <c r="O116" i="1"/>
  <c r="O104" i="1"/>
  <c r="O44" i="1"/>
  <c r="O199" i="1"/>
  <c r="O187" i="1"/>
  <c r="O163" i="1"/>
  <c r="O151" i="1"/>
  <c r="O139" i="1"/>
  <c r="O127" i="1"/>
  <c r="O115" i="1"/>
  <c r="O91" i="1"/>
  <c r="O32" i="1"/>
  <c r="O189" i="1"/>
  <c r="O198" i="1"/>
  <c r="O174" i="1"/>
  <c r="O162" i="1"/>
  <c r="O150" i="1"/>
  <c r="O138" i="1"/>
  <c r="O126" i="1"/>
  <c r="O102" i="1"/>
  <c r="O90" i="1"/>
  <c r="O5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<sst xmlns="http://schemas.openxmlformats.org/spreadsheetml/2006/main" count="858" uniqueCount="287">
  <si>
    <t>TIO</t>
  </si>
  <si>
    <t>Task Name</t>
  </si>
  <si>
    <t>Duration</t>
  </si>
  <si>
    <t>Start</t>
  </si>
  <si>
    <t>Finish</t>
  </si>
  <si>
    <t>% Complete</t>
  </si>
  <si>
    <t>Cost</t>
  </si>
  <si>
    <t>Baseline Cost</t>
  </si>
  <si>
    <t>QLDC Minor Improvements Programme 2021-2024</t>
  </si>
  <si>
    <t>Wed 13/10/21</t>
  </si>
  <si>
    <t>Tue 18/06/24</t>
  </si>
  <si>
    <t xml:space="preserve">   Programme Management</t>
  </si>
  <si>
    <t>700 days</t>
  </si>
  <si>
    <t xml:space="preserve">      LS Management Fee</t>
  </si>
  <si>
    <t xml:space="preserve">   Glenorchy Corridor Package</t>
  </si>
  <si>
    <t>525 days</t>
  </si>
  <si>
    <t>Mon 29/11/21</t>
  </si>
  <si>
    <t>Fri 1/12/23</t>
  </si>
  <si>
    <t xml:space="preserve">      Glenorchy Road North Barriers '21</t>
  </si>
  <si>
    <t>275 days</t>
  </si>
  <si>
    <t>Fri 16/12/22</t>
  </si>
  <si>
    <t xml:space="preserve">         Concept Design including investigations and consultations where applicable</t>
  </si>
  <si>
    <t>63 days</t>
  </si>
  <si>
    <t>Wed 23/02/22</t>
  </si>
  <si>
    <t xml:space="preserve">         Detailed Design</t>
  </si>
  <si>
    <t>36 days</t>
  </si>
  <si>
    <t>Thu 24/02/22</t>
  </si>
  <si>
    <t>Thu 14/04/22</t>
  </si>
  <si>
    <t xml:space="preserve">         Tender</t>
  </si>
  <si>
    <t>55 days</t>
  </si>
  <si>
    <t>Mon 9/05/22</t>
  </si>
  <si>
    <t>Fri 22/07/22</t>
  </si>
  <si>
    <t xml:space="preserve">         MSQA</t>
  </si>
  <si>
    <t>95 days</t>
  </si>
  <si>
    <t>Mon 8/08/22</t>
  </si>
  <si>
    <t xml:space="preserve">         Construction</t>
  </si>
  <si>
    <t xml:space="preserve">      Glenorchy Various MI '21</t>
  </si>
  <si>
    <t>30 days</t>
  </si>
  <si>
    <t>Wed 6/04/22</t>
  </si>
  <si>
    <t xml:space="preserve">      Glenorchy Road South Barriers</t>
  </si>
  <si>
    <t>232 days</t>
  </si>
  <si>
    <t>Thu 27/01/22</t>
  </si>
  <si>
    <t>20 days</t>
  </si>
  <si>
    <t xml:space="preserve">      Paradise Barriers and Signage '21</t>
  </si>
  <si>
    <t>222 days</t>
  </si>
  <si>
    <t>Thu 10/02/22</t>
  </si>
  <si>
    <t>10 days</t>
  </si>
  <si>
    <t xml:space="preserve">      Routeburn Bridges 1</t>
  </si>
  <si>
    <t xml:space="preserve">      Glenorchy Road North Barriers '22</t>
  </si>
  <si>
    <t>201 days</t>
  </si>
  <si>
    <t>Fri 1/07/22</t>
  </si>
  <si>
    <t>Fri 7/04/23</t>
  </si>
  <si>
    <t>88 days</t>
  </si>
  <si>
    <t>Tue 1/11/22</t>
  </si>
  <si>
    <t>60 days</t>
  </si>
  <si>
    <t>Mon 16/01/23</t>
  </si>
  <si>
    <t xml:space="preserve">      Glenorchy Road North Barriers '23</t>
  </si>
  <si>
    <t>109 days</t>
  </si>
  <si>
    <t>Sat 1/07/23</t>
  </si>
  <si>
    <t>Thu 30/11/23</t>
  </si>
  <si>
    <t>50 days</t>
  </si>
  <si>
    <t>Thu 7/09/23</t>
  </si>
  <si>
    <t>Fri 8/09/23</t>
  </si>
  <si>
    <t xml:space="preserve">      Glenorchy Various MI '23</t>
  </si>
  <si>
    <t>80 days</t>
  </si>
  <si>
    <t>Mon 3/07/23</t>
  </si>
  <si>
    <t>Fri 20/10/23</t>
  </si>
  <si>
    <t>Fri 11/08/23</t>
  </si>
  <si>
    <t>Mon 11/09/23</t>
  </si>
  <si>
    <t xml:space="preserve">      Paradise Barriers and Signage '23</t>
  </si>
  <si>
    <t>110 days</t>
  </si>
  <si>
    <t xml:space="preserve">   Golf Course Ballantyne IS SNP Stage 1</t>
  </si>
  <si>
    <t>Wed 1/12/21</t>
  </si>
  <si>
    <t xml:space="preserve">      Detailed Design</t>
  </si>
  <si>
    <t>93 days</t>
  </si>
  <si>
    <t>Fri 8/04/22</t>
  </si>
  <si>
    <t xml:space="preserve">      Tender</t>
  </si>
  <si>
    <t>65 days</t>
  </si>
  <si>
    <t>Mon 22/08/22</t>
  </si>
  <si>
    <t>Fri 18/11/22</t>
  </si>
  <si>
    <t xml:space="preserve">      MSQA</t>
  </si>
  <si>
    <t>100 days</t>
  </si>
  <si>
    <t>Mon 5/12/22</t>
  </si>
  <si>
    <t xml:space="preserve">      Construction</t>
  </si>
  <si>
    <t xml:space="preserve">   Schools To Pool</t>
  </si>
  <si>
    <t>Mon 3/01/22</t>
  </si>
  <si>
    <t xml:space="preserve">      Stage 1 - Aubrey and Kelly's Flat</t>
  </si>
  <si>
    <t>Fri 28/01/22</t>
  </si>
  <si>
    <t>Mon 31/01/22</t>
  </si>
  <si>
    <t>40 days</t>
  </si>
  <si>
    <t xml:space="preserve">      Stage 2 - Kelly's Flat to Plantation Rd</t>
  </si>
  <si>
    <t>Mon 2/05/22</t>
  </si>
  <si>
    <t xml:space="preserve">         Detailed Design including tender</t>
  </si>
  <si>
    <t>120 days</t>
  </si>
  <si>
    <t>Tue 20/09/22</t>
  </si>
  <si>
    <t>Mon 6/03/23</t>
  </si>
  <si>
    <t xml:space="preserve">      Stage 3 - Lismore Park to Hedditch Street</t>
  </si>
  <si>
    <t xml:space="preserve">      Stage 4 - SH84 Crossing</t>
  </si>
  <si>
    <t>450 days</t>
  </si>
  <si>
    <t>Thu 21/03/24</t>
  </si>
  <si>
    <t xml:space="preserve">         Feasability Stage</t>
  </si>
  <si>
    <t>Thu 8/12/22</t>
  </si>
  <si>
    <t>Fri 15/09/23</t>
  </si>
  <si>
    <t xml:space="preserve">      Stage 5 - Ballantyne Road</t>
  </si>
  <si>
    <t xml:space="preserve">   Hawthorne Red Oaks IS SNP</t>
  </si>
  <si>
    <t>Mon 10/01/22</t>
  </si>
  <si>
    <t>Fri 29/04/22</t>
  </si>
  <si>
    <t>Mon 14/11/22</t>
  </si>
  <si>
    <t>Fri 3/03/23</t>
  </si>
  <si>
    <t>Mon 20/03/23</t>
  </si>
  <si>
    <t xml:space="preserve">   Rata St SNP</t>
  </si>
  <si>
    <t xml:space="preserve">      Concept Design including investigations and consultations where applicable</t>
  </si>
  <si>
    <t>75 days</t>
  </si>
  <si>
    <t>Mon 1/08/22</t>
  </si>
  <si>
    <t>Fri 11/11/22</t>
  </si>
  <si>
    <t xml:space="preserve">   Crown Range Minor Widening</t>
  </si>
  <si>
    <t>0 days</t>
  </si>
  <si>
    <t>Tue 1/02/22</t>
  </si>
  <si>
    <t xml:space="preserve">      Construction - Maintenance</t>
  </si>
  <si>
    <t>Mon 28/02/22</t>
  </si>
  <si>
    <t>Tue 26/04/22</t>
  </si>
  <si>
    <t xml:space="preserve">   Golf Course Ballantyne IS SNP Stage 2</t>
  </si>
  <si>
    <t>Fri 5/01/24</t>
  </si>
  <si>
    <t>119 days</t>
  </si>
  <si>
    <t>Fri 15/07/22</t>
  </si>
  <si>
    <t xml:space="preserve">   Wanaka Maintenance '21</t>
  </si>
  <si>
    <t>Tue 15/03/22</t>
  </si>
  <si>
    <t xml:space="preserve">   Mt Aspiring Corridor Safety Improvements</t>
  </si>
  <si>
    <t>Tue 1/03/22</t>
  </si>
  <si>
    <t>96 days</t>
  </si>
  <si>
    <t>Tue 12/07/22</t>
  </si>
  <si>
    <t xml:space="preserve">   Crown Range Queenstown Side Barriers</t>
  </si>
  <si>
    <t>Fri 11/03/22</t>
  </si>
  <si>
    <t>Thu 1/09/22</t>
  </si>
  <si>
    <t xml:space="preserve">   Malaghans Dalefield IS SNP</t>
  </si>
  <si>
    <t>Fri 13/05/22</t>
  </si>
  <si>
    <t>Mon 15/08/22</t>
  </si>
  <si>
    <t xml:space="preserve">   Tuohys Gully and Ski Resort IS</t>
  </si>
  <si>
    <t>Fri 3/06/22</t>
  </si>
  <si>
    <t>Fri 29/09/23</t>
  </si>
  <si>
    <t>140 days</t>
  </si>
  <si>
    <t>Thu 15/12/22</t>
  </si>
  <si>
    <t>Mon 27/02/23</t>
  </si>
  <si>
    <t>Mon 24/04/23</t>
  </si>
  <si>
    <t>Fri 16/06/23</t>
  </si>
  <si>
    <t>Mon 19/06/23</t>
  </si>
  <si>
    <t xml:space="preserve">   Anderson Rd Active Travel</t>
  </si>
  <si>
    <t>Tue 7/06/22</t>
  </si>
  <si>
    <t xml:space="preserve">      Tender document preparation</t>
  </si>
  <si>
    <t>29 days</t>
  </si>
  <si>
    <t xml:space="preserve">      Tender Period and Evaluation</t>
  </si>
  <si>
    <t>Mon 23/01/23</t>
  </si>
  <si>
    <t xml:space="preserve">   Memoral Camp IS SNP - Alliance?</t>
  </si>
  <si>
    <t>1 day?</t>
  </si>
  <si>
    <t xml:space="preserve">   Cardrona Village</t>
  </si>
  <si>
    <t>Tue 5/07/22</t>
  </si>
  <si>
    <t xml:space="preserve">      Feasibility</t>
  </si>
  <si>
    <t xml:space="preserve">   Anderson Aubrey IS SNP</t>
  </si>
  <si>
    <t>Fri 24/11/23</t>
  </si>
  <si>
    <t>Fri 25/11/22</t>
  </si>
  <si>
    <t>Mon 20/02/23</t>
  </si>
  <si>
    <t xml:space="preserve">   Ballantyne Riverbanks IS</t>
  </si>
  <si>
    <t>Tue 23/08/22</t>
  </si>
  <si>
    <t xml:space="preserve">      Tendering</t>
  </si>
  <si>
    <t xml:space="preserve">   Crown Range - Chain Bay 4</t>
  </si>
  <si>
    <t>Mon 24/10/22</t>
  </si>
  <si>
    <t xml:space="preserve">   Cardrona Barriers</t>
  </si>
  <si>
    <t>15 days</t>
  </si>
  <si>
    <t>Fri 2/12/22</t>
  </si>
  <si>
    <t xml:space="preserve">   Cardrona Valley Road Barriers</t>
  </si>
  <si>
    <t xml:space="preserve">   Wanaka Maintenance '22</t>
  </si>
  <si>
    <t>Fri 9/12/22</t>
  </si>
  <si>
    <t>Thu 29/12/22</t>
  </si>
  <si>
    <t xml:space="preserve">   Queenstown Maintenance</t>
  </si>
  <si>
    <t>Fri 30/06/23</t>
  </si>
  <si>
    <t>Thu 19/10/23</t>
  </si>
  <si>
    <t>Thu 27/07/23</t>
  </si>
  <si>
    <t>Fri 28/07/23</t>
  </si>
  <si>
    <t xml:space="preserve">   Orchard Studholme</t>
  </si>
  <si>
    <t>Mon 15/01/24</t>
  </si>
  <si>
    <t>Mon 4/12/23</t>
  </si>
  <si>
    <t xml:space="preserve">   Arrowtown Traffic Calming 1</t>
  </si>
  <si>
    <t>Fri 1/09/23</t>
  </si>
  <si>
    <t>Thu 21/09/23</t>
  </si>
  <si>
    <t>Fri 22/09/23</t>
  </si>
  <si>
    <t>Fri 10/11/23</t>
  </si>
  <si>
    <t xml:space="preserve">   Crown Range Speed Management '21</t>
  </si>
  <si>
    <t xml:space="preserve">   Crown Range Speed Management '22</t>
  </si>
  <si>
    <t xml:space="preserve">   Malaghans Rd Speed Management 1</t>
  </si>
  <si>
    <t xml:space="preserve">   Edinburgh Drive SNP</t>
  </si>
  <si>
    <t>Thu 11/01/24</t>
  </si>
  <si>
    <t>main_pack</t>
  </si>
  <si>
    <t>sub_pack</t>
  </si>
  <si>
    <t>stage</t>
  </si>
  <si>
    <t xml:space="preserve">        Construction </t>
  </si>
  <si>
    <t xml:space="preserve">     Construction </t>
  </si>
  <si>
    <t xml:space="preserve">     MSQA </t>
  </si>
  <si>
    <t xml:space="preserve">     Tender </t>
  </si>
  <si>
    <t>main</t>
  </si>
  <si>
    <t>max level</t>
  </si>
  <si>
    <t>bold</t>
  </si>
  <si>
    <t>Wed 2/11/22</t>
  </si>
  <si>
    <t>Tue 24/01/23</t>
  </si>
  <si>
    <t>45 days</t>
  </si>
  <si>
    <t>Mon 2/01/23</t>
  </si>
  <si>
    <t>Mon 3/10/22</t>
  </si>
  <si>
    <t>Mon 9/01/23</t>
  </si>
  <si>
    <t>Fri 31/03/23</t>
  </si>
  <si>
    <t>Fri 2/06/23</t>
  </si>
  <si>
    <t>Fri 4/08/23</t>
  </si>
  <si>
    <t>Fri 3/02/23</t>
  </si>
  <si>
    <t>220 days</t>
  </si>
  <si>
    <t>Mon 8/05/23</t>
  </si>
  <si>
    <t>Mon 29/04/24</t>
  </si>
  <si>
    <t>230 days</t>
  </si>
  <si>
    <t>Mon 18/09/23</t>
  </si>
  <si>
    <t>Thu 13/10/22</t>
  </si>
  <si>
    <t>Mon 26/12/22</t>
  </si>
  <si>
    <t>Fri 29/12/23</t>
  </si>
  <si>
    <t>Thu 14/09/23</t>
  </si>
  <si>
    <t>Thu 4/01/24</t>
  </si>
  <si>
    <t>start_date</t>
  </si>
  <si>
    <t>end_date</t>
  </si>
  <si>
    <t>forecast</t>
  </si>
  <si>
    <t>baseline</t>
  </si>
  <si>
    <t>393 days</t>
  </si>
  <si>
    <t>130 days</t>
  </si>
  <si>
    <t>370 days</t>
  </si>
  <si>
    <t>235 days</t>
  </si>
  <si>
    <t>Thu 25/05/23</t>
  </si>
  <si>
    <t>466 days</t>
  </si>
  <si>
    <t>345 days</t>
  </si>
  <si>
    <t>703 days?</t>
  </si>
  <si>
    <t>Fri 21/06/24</t>
  </si>
  <si>
    <t>645 days</t>
  </si>
  <si>
    <t>487 days</t>
  </si>
  <si>
    <t>Tue 12/03/24</t>
  </si>
  <si>
    <t>240 days</t>
  </si>
  <si>
    <t>Mon 21/08/23</t>
  </si>
  <si>
    <t>92 days</t>
  </si>
  <si>
    <t>Mon 6/11/23</t>
  </si>
  <si>
    <t>Mon 12/02/24</t>
  </si>
  <si>
    <t>105 days</t>
  </si>
  <si>
    <t>Tue 19/09/23</t>
  </si>
  <si>
    <t>Mon 8/01/24</t>
  </si>
  <si>
    <t>516 days</t>
  </si>
  <si>
    <t>614 days</t>
  </si>
  <si>
    <t>Fri 7/06/24</t>
  </si>
  <si>
    <t>250 days</t>
  </si>
  <si>
    <t>Mon 27/11/23</t>
  </si>
  <si>
    <t>Thu 22/06/23</t>
  </si>
  <si>
    <t>Mon 9/10/23</t>
  </si>
  <si>
    <t>475 days</t>
  </si>
  <si>
    <t xml:space="preserve">      Detailed Design and Tender</t>
  </si>
  <si>
    <t>Tue 8/08/23</t>
  </si>
  <si>
    <t>Mon 25/12/23</t>
  </si>
  <si>
    <t>Tue 9/01/24</t>
  </si>
  <si>
    <t>Fri 8/12/23</t>
  </si>
  <si>
    <t>Mon 28/08/23</t>
  </si>
  <si>
    <t>277 days</t>
  </si>
  <si>
    <t>Fri 3/11/23</t>
  </si>
  <si>
    <t>255 days</t>
  </si>
  <si>
    <t>Thu 5/10/23</t>
  </si>
  <si>
    <t>x</t>
  </si>
  <si>
    <t>Row Labels</t>
  </si>
  <si>
    <t>(blank)</t>
  </si>
  <si>
    <t>Grand Total</t>
  </si>
  <si>
    <t>540 days</t>
  </si>
  <si>
    <t>Fri 2/02/24</t>
  </si>
  <si>
    <t>485 days</t>
  </si>
  <si>
    <t>462 days</t>
  </si>
  <si>
    <t>Wed 6/12/23</t>
  </si>
  <si>
    <t>461 days</t>
  </si>
  <si>
    <t>Fri 8/03/24</t>
  </si>
  <si>
    <t>200 days</t>
  </si>
  <si>
    <t xml:space="preserve">      Tender (maintenance)</t>
  </si>
  <si>
    <t>Fri 15/12/23</t>
  </si>
  <si>
    <t>Mon 18/12/23</t>
  </si>
  <si>
    <t>392 days</t>
  </si>
  <si>
    <t>208 days</t>
  </si>
  <si>
    <t>478 days</t>
  </si>
  <si>
    <t>Thu 20/06/24</t>
  </si>
  <si>
    <t>318 days</t>
  </si>
  <si>
    <t>Thu 9/11/23</t>
  </si>
  <si>
    <t>Thu 21/12/23</t>
  </si>
  <si>
    <t>125 days</t>
  </si>
  <si>
    <t>Thu 22/02/24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</si>
</sst>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;[Red]\-&quot;$&quot;#,##0.00"/>
  </numFmts>
  <fonts count="5" x14ac:knownFonts="1">
    <font>
      <sz val="11"/>
      <color theme="1"/>
      <name val="Calibri"/>
      <family val="2"/>
      <scheme val="minor"/>
    </font>
    <font>
      <sz val="9"/>
      <color rgb="FF363636"/>
      <name val="Segoe UI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1F4E7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FE3E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00"/>
        <bgColor indexed="64"/>
      </patternFill>
    </fill>
  </fills>
  <borders count="2">
    <border>
      <left/>
      <right/>
      <top/>
      <bottom/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thin">
        <color rgb="FFB1BBCC"/>
      </bottom>
      <diagonal/>
    </border>
  </borders>
  <cellStyleXfs count="1">
    <xf numFmtId="0" fontId="0" fillId="0" borderId="0"/>
  </cellStyleXfs>
  <cellXfs count="19">
    <xf numFmtId="0" fontId="0" fillId="0" borderId="0" xfId="0"/>
    <xf numFmtId="1" fontId="1" fillId="2" borderId="0" xfId="0" applyNumberFormat="1" applyFont="1" applyFill="1" applyAlignment="1">
      <alignment vertical="center" wrapText="1"/>
    </xf>
    <xf numFmtId="1" fontId="2" fillId="3" borderId="0" xfId="0" applyNumberFormat="1" applyFont="1" applyFill="1" applyAlignment="1">
      <alignment horizontal="right" vertical="center" wrapText="1"/>
    </xf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1" fillId="2" borderId="1" xfId="0" applyFont="1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9" fontId="2" fillId="3" borderId="1" xfId="0" applyNumberFormat="1" applyFont="1" applyFill="1" applyBorder="1" applyAlignment="1">
      <alignment horizontal="right" vertical="center" wrapText="1"/>
    </xf>
    <xf numFmtId="8" fontId="2" fillId="3" borderId="1" xfId="0" applyNumberFormat="1" applyFont="1" applyFill="1" applyBorder="1" applyAlignment="1">
      <alignment horizontal="right" vertical="center" wrapText="1"/>
    </xf>
    <xf numFmtId="0" fontId="3" fillId="3" borderId="1" xfId="0" applyFont="1" applyFill="1" applyBorder="1" applyAlignment="1">
      <alignment vertical="center" wrapText="1"/>
    </xf>
    <xf numFmtId="9" fontId="3" fillId="3" borderId="1" xfId="0" applyNumberFormat="1" applyFont="1" applyFill="1" applyBorder="1" applyAlignment="1">
      <alignment horizontal="right" vertical="center" wrapText="1"/>
    </xf>
    <xf numFmtId="8" fontId="3" fillId="3" borderId="1" xfId="0" applyNumberFormat="1" applyFont="1" applyFill="1" applyBorder="1" applyAlignment="1">
      <alignment vertical="center" wrapText="1"/>
    </xf>
    <xf numFmtId="8" fontId="3" fillId="3" borderId="1" xfId="0" applyNumberFormat="1" applyFont="1" applyFill="1" applyBorder="1" applyAlignment="1">
      <alignment horizontal="right" vertical="center" wrapText="1"/>
    </xf>
    <xf numFmtId="0" fontId="4" fillId="3" borderId="1" xfId="0" applyFont="1" applyFill="1" applyBorder="1" applyAlignment="1">
      <alignment vertical="center" wrapText="1"/>
    </xf>
    <xf numFmtId="0" fontId="4" fillId="4" borderId="1" xfId="0" applyFont="1" applyFill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ill, Peter" refreshedDate="45188.566596643519" createdVersion="8" refreshedVersion="8" minRefreshableVersion="3" recordCount="210" xr:uid="{B8D85732-344B-4267-AB84-F1861F5396F1}">
  <cacheSource type="worksheet">
    <worksheetSource ref="I1:I1048576" sheet="Sheet1"/>
  </cacheSource>
  <cacheFields count="1">
    <cacheField name="x" numFmtId="1">
      <sharedItems containsString="0" containsBlank="1" containsNumber="1" containsInteger="1" minValue="0" maxValue="9" count="5">
        <n v="0"/>
        <n v="3"/>
        <n v="6"/>
        <n v="9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</r>
  <r>
    <x v="1"/>
  </r>
  <r>
    <x v="2"/>
  </r>
  <r>
    <x v="1"/>
  </r>
  <r>
    <x v="2"/>
  </r>
  <r>
    <x v="3"/>
  </r>
  <r>
    <x v="3"/>
  </r>
  <r>
    <x v="3"/>
  </r>
  <r>
    <x v="3"/>
  </r>
  <r>
    <x v="3"/>
  </r>
  <r>
    <x v="2"/>
  </r>
  <r>
    <x v="3"/>
  </r>
  <r>
    <x v="3"/>
  </r>
  <r>
    <x v="3"/>
  </r>
  <r>
    <x v="3"/>
  </r>
  <r>
    <x v="2"/>
  </r>
  <r>
    <x v="3"/>
  </r>
  <r>
    <x v="3"/>
  </r>
  <r>
    <x v="3"/>
  </r>
  <r>
    <x v="3"/>
  </r>
  <r>
    <x v="2"/>
  </r>
  <r>
    <x v="3"/>
  </r>
  <r>
    <x v="3"/>
  </r>
  <r>
    <x v="3"/>
  </r>
  <r>
    <x v="3"/>
  </r>
  <r>
    <x v="2"/>
  </r>
  <r>
    <x v="3"/>
  </r>
  <r>
    <x v="3"/>
  </r>
  <r>
    <x v="3"/>
  </r>
  <r>
    <x v="3"/>
  </r>
  <r>
    <x v="2"/>
  </r>
  <r>
    <x v="3"/>
  </r>
  <r>
    <x v="3"/>
  </r>
  <r>
    <x v="3"/>
  </r>
  <r>
    <x v="2"/>
  </r>
  <r>
    <x v="3"/>
  </r>
  <r>
    <x v="3"/>
  </r>
  <r>
    <x v="3"/>
  </r>
  <r>
    <x v="2"/>
  </r>
  <r>
    <x v="3"/>
  </r>
  <r>
    <x v="3"/>
  </r>
  <r>
    <x v="3"/>
  </r>
  <r>
    <x v="2"/>
  </r>
  <r>
    <x v="3"/>
  </r>
  <r>
    <x v="3"/>
  </r>
  <r>
    <x v="3"/>
  </r>
  <r>
    <x v="1"/>
  </r>
  <r>
    <x v="2"/>
  </r>
  <r>
    <x v="2"/>
  </r>
  <r>
    <x v="2"/>
  </r>
  <r>
    <x v="2"/>
  </r>
  <r>
    <x v="1"/>
  </r>
  <r>
    <x v="2"/>
  </r>
  <r>
    <x v="3"/>
  </r>
  <r>
    <x v="3"/>
  </r>
  <r>
    <x v="3"/>
  </r>
  <r>
    <x v="3"/>
  </r>
  <r>
    <x v="3"/>
  </r>
  <r>
    <x v="2"/>
  </r>
  <r>
    <x v="3"/>
  </r>
  <r>
    <x v="3"/>
  </r>
  <r>
    <x v="3"/>
  </r>
  <r>
    <x v="3"/>
  </r>
  <r>
    <x v="2"/>
  </r>
  <r>
    <x v="3"/>
  </r>
  <r>
    <x v="3"/>
  </r>
  <r>
    <x v="3"/>
  </r>
  <r>
    <x v="3"/>
  </r>
  <r>
    <x v="2"/>
  </r>
  <r>
    <x v="3"/>
  </r>
  <r>
    <x v="3"/>
  </r>
  <r>
    <x v="3"/>
  </r>
  <r>
    <x v="3"/>
  </r>
  <r>
    <x v="2"/>
  </r>
  <r>
    <x v="3"/>
  </r>
  <r>
    <x v="3"/>
  </r>
  <r>
    <x v="3"/>
  </r>
  <r>
    <x v="3"/>
  </r>
  <r>
    <x v="1"/>
  </r>
  <r>
    <x v="2"/>
  </r>
  <r>
    <x v="2"/>
  </r>
  <r>
    <x v="2"/>
  </r>
  <r>
    <x v="2"/>
  </r>
  <r>
    <x v="1"/>
  </r>
  <r>
    <x v="2"/>
  </r>
  <r>
    <x v="2"/>
  </r>
  <r>
    <x v="2"/>
  </r>
  <r>
    <x v="2"/>
  </r>
  <r>
    <x v="1"/>
  </r>
  <r>
    <x v="2"/>
  </r>
  <r>
    <x v="2"/>
  </r>
  <r>
    <x v="2"/>
  </r>
  <r>
    <x v="2"/>
  </r>
  <r>
    <x v="1"/>
  </r>
  <r>
    <x v="2"/>
  </r>
  <r>
    <x v="2"/>
  </r>
  <r>
    <x v="2"/>
  </r>
  <r>
    <x v="2"/>
  </r>
  <r>
    <x v="2"/>
  </r>
  <r>
    <x v="1"/>
  </r>
  <r>
    <x v="2"/>
  </r>
  <r>
    <x v="2"/>
  </r>
  <r>
    <x v="2"/>
  </r>
  <r>
    <x v="2"/>
  </r>
  <r>
    <x v="1"/>
  </r>
  <r>
    <x v="2"/>
  </r>
  <r>
    <x v="2"/>
  </r>
  <r>
    <x v="2"/>
  </r>
  <r>
    <x v="2"/>
  </r>
  <r>
    <x v="2"/>
  </r>
  <r>
    <x v="1"/>
  </r>
  <r>
    <x v="2"/>
  </r>
  <r>
    <x v="2"/>
  </r>
  <r>
    <x v="2"/>
  </r>
  <r>
    <x v="2"/>
  </r>
  <r>
    <x v="1"/>
  </r>
  <r>
    <x v="2"/>
  </r>
  <r>
    <x v="2"/>
  </r>
  <r>
    <x v="2"/>
  </r>
  <r>
    <x v="2"/>
  </r>
  <r>
    <x v="1"/>
  </r>
  <r>
    <x v="2"/>
  </r>
  <r>
    <x v="2"/>
  </r>
  <r>
    <x v="2"/>
  </r>
  <r>
    <x v="2"/>
  </r>
  <r>
    <x v="2"/>
  </r>
  <r>
    <x v="1"/>
  </r>
  <r>
    <x v="2"/>
  </r>
  <r>
    <x v="2"/>
  </r>
  <r>
    <x v="2"/>
  </r>
  <r>
    <x v="2"/>
  </r>
  <r>
    <x v="1"/>
  </r>
  <r>
    <x v="1"/>
  </r>
  <r>
    <x v="2"/>
  </r>
  <r>
    <x v="2"/>
  </r>
  <r>
    <x v="2"/>
  </r>
  <r>
    <x v="2"/>
  </r>
  <r>
    <x v="1"/>
  </r>
  <r>
    <x v="2"/>
  </r>
  <r>
    <x v="2"/>
  </r>
  <r>
    <x v="2"/>
  </r>
  <r>
    <x v="2"/>
  </r>
  <r>
    <x v="1"/>
  </r>
  <r>
    <x v="2"/>
  </r>
  <r>
    <x v="2"/>
  </r>
  <r>
    <x v="2"/>
  </r>
  <r>
    <x v="2"/>
  </r>
  <r>
    <x v="1"/>
  </r>
  <r>
    <x v="2"/>
  </r>
  <r>
    <x v="2"/>
  </r>
  <r>
    <x v="2"/>
  </r>
  <r>
    <x v="2"/>
  </r>
  <r>
    <x v="2"/>
  </r>
  <r>
    <x v="1"/>
  </r>
  <r>
    <x v="2"/>
  </r>
  <r>
    <x v="2"/>
  </r>
  <r>
    <x v="2"/>
  </r>
  <r>
    <x v="2"/>
  </r>
  <r>
    <x v="2"/>
  </r>
  <r>
    <x v="1"/>
  </r>
  <r>
    <x v="2"/>
  </r>
  <r>
    <x v="2"/>
  </r>
  <r>
    <x v="2"/>
  </r>
  <r>
    <x v="2"/>
  </r>
  <r>
    <x v="2"/>
  </r>
  <r>
    <x v="1"/>
  </r>
  <r>
    <x v="2"/>
  </r>
  <r>
    <x v="2"/>
  </r>
  <r>
    <x v="2"/>
  </r>
  <r>
    <x v="2"/>
  </r>
  <r>
    <x v="1"/>
  </r>
  <r>
    <x v="2"/>
  </r>
  <r>
    <x v="2"/>
  </r>
  <r>
    <x v="2"/>
  </r>
  <r>
    <x v="2"/>
  </r>
  <r>
    <x v="1"/>
  </r>
  <r>
    <x v="2"/>
  </r>
  <r>
    <x v="2"/>
  </r>
  <r>
    <x v="2"/>
  </r>
  <r>
    <x v="2"/>
  </r>
  <r>
    <x v="2"/>
  </r>
  <r>
    <x v="1"/>
  </r>
  <r>
    <x v="2"/>
  </r>
  <r>
    <x v="2"/>
  </r>
  <r>
    <x v="2"/>
  </r>
  <r>
    <x v="2"/>
  </r>
  <r>
    <x v="1"/>
  </r>
  <r>
    <x v="2"/>
  </r>
  <r>
    <x v="2"/>
  </r>
  <r>
    <x v="2"/>
  </r>
  <r>
    <x v="2"/>
  </r>
  <r>
    <x v="1"/>
  </r>
  <r>
    <x v="2"/>
  </r>
  <r>
    <x v="2"/>
  </r>
  <r>
    <x v="2"/>
  </r>
  <r>
    <x v="2"/>
  </r>
  <r>
    <x v="1"/>
  </r>
  <r>
    <x v="2"/>
  </r>
  <r>
    <x v="2"/>
  </r>
  <r>
    <x v="2"/>
  </r>
  <r>
    <x v="2"/>
  </r>
  <r>
    <x v="1"/>
  </r>
  <r>
    <x v="2"/>
  </r>
  <r>
    <x v="2"/>
  </r>
  <r>
    <x v="2"/>
  </r>
  <r>
    <x v="2"/>
  </r>
  <r>
    <x v="2"/>
  </r>
  <r>
    <x v="2"/>
  </r>
  <r>
    <x v="2"/>
  </r>
  <r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BDBF6D-2408-4CC9-BB1F-284C05E5B13E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9" firstHeaderRow="1" firstDataRow="1" firstDataCol="1"/>
  <pivotFields count="1">
    <pivotField axis="axisRow" showAll="0">
      <items count="6">
        <item x="0"/>
        <item x="1"/>
        <item x="2"/>
        <item x="3"/>
        <item x="4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1C945-4FEE-4436-83D3-616EAD4E64AF}">
  <dimension ref="A3:A9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</cols>
  <sheetData>
    <row r="3" spans="1:1" x14ac:dyDescent="0.25">
      <c r="A3" s="17" t="s">
        <v>264</v>
      </c>
    </row>
    <row r="4" spans="1:1" x14ac:dyDescent="0.25">
      <c r="A4" s="18">
        <v>0</v>
      </c>
    </row>
    <row r="5" spans="1:1" x14ac:dyDescent="0.25">
      <c r="A5" s="18">
        <v>3</v>
      </c>
    </row>
    <row r="6" spans="1:1" x14ac:dyDescent="0.25">
      <c r="A6" s="18">
        <v>6</v>
      </c>
    </row>
    <row r="7" spans="1:1" x14ac:dyDescent="0.25">
      <c r="A7" s="18">
        <v>9</v>
      </c>
    </row>
    <row r="8" spans="1:1" x14ac:dyDescent="0.25">
      <c r="A8" s="18" t="s">
        <v>265</v>
      </c>
    </row>
    <row r="9" spans="1:1" x14ac:dyDescent="0.25">
      <c r="A9" s="18" t="s">
        <v>266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CBAA1-10B0-487C-9124-21F9C29072D3}">
  <sheetPr codeName="Sheet1" filterMode="1"/>
  <dimension ref="A1:S210"/>
  <sheetViews>
    <sheetView tabSelected="1" topLeftCell="E190" workbookViewId="0">
      <selection activeCell="M4" sqref="M4:S210"/>
    </sheetView>
  </sheetViews>
  <sheetFormatPr defaultRowHeight="15" x14ac:dyDescent="0.25"/>
  <cols>
    <col min="2" max="2" width="39.7109375" customWidth="1"/>
    <col min="4" max="4" width="14.85546875" customWidth="1"/>
    <col min="7" max="8" width="13.85546875" bestFit="1" customWidth="1"/>
    <col min="9" max="11" width="13.85546875" style="3" customWidth="1"/>
    <col min="13" max="13" width="39.28515625" bestFit="1" customWidth="1"/>
    <col min="14" max="14" width="69.85546875" bestFit="1" customWidth="1"/>
    <col min="16" max="16" width="10.7109375" style="4" bestFit="1" customWidth="1"/>
    <col min="17" max="17" width="13.42578125" style="4" bestFit="1" customWidth="1"/>
    <col min="18" max="18" width="11.28515625" style="5" bestFit="1" customWidth="1"/>
    <col min="19" max="19" width="10.5703125" style="5" bestFit="1" customWidth="1"/>
  </cols>
  <sheetData>
    <row r="1" spans="1:19" ht="24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1" t="s">
        <v>263</v>
      </c>
      <c r="J1" s="1"/>
      <c r="K1" s="1"/>
    </row>
    <row r="2" spans="1:19" ht="30" x14ac:dyDescent="0.25">
      <c r="A2" s="7"/>
      <c r="B2" s="8" t="s">
        <v>8</v>
      </c>
      <c r="C2" s="8" t="s">
        <v>232</v>
      </c>
      <c r="D2" s="8" t="s">
        <v>9</v>
      </c>
      <c r="E2" s="8" t="s">
        <v>233</v>
      </c>
      <c r="F2" s="9">
        <v>0.71</v>
      </c>
      <c r="G2" s="10">
        <v>18335000.559999999</v>
      </c>
      <c r="H2" s="10">
        <v>18125250.75</v>
      </c>
      <c r="I2" s="2">
        <f>LEN(B2) - LEN(TRIM(B2))</f>
        <v>0</v>
      </c>
      <c r="J2" s="2" t="s">
        <v>198</v>
      </c>
      <c r="K2" s="2" t="s">
        <v>199</v>
      </c>
      <c r="L2" t="s">
        <v>200</v>
      </c>
      <c r="M2" t="s">
        <v>191</v>
      </c>
      <c r="N2" t="s">
        <v>192</v>
      </c>
      <c r="O2" t="s">
        <v>193</v>
      </c>
      <c r="P2" t="s">
        <v>221</v>
      </c>
      <c r="Q2" t="s">
        <v>222</v>
      </c>
      <c r="R2" t="s">
        <v>223</v>
      </c>
      <c r="S2" t="s">
        <v>224</v>
      </c>
    </row>
    <row r="3" spans="1:19" ht="30" hidden="1" x14ac:dyDescent="0.25">
      <c r="A3" s="7"/>
      <c r="B3" s="8" t="s">
        <v>11</v>
      </c>
      <c r="C3" s="8" t="s">
        <v>12</v>
      </c>
      <c r="D3" s="8" t="s">
        <v>9</v>
      </c>
      <c r="E3" s="8" t="s">
        <v>10</v>
      </c>
      <c r="F3" s="9">
        <v>0.5</v>
      </c>
      <c r="G3" s="10">
        <v>545000</v>
      </c>
      <c r="H3" s="10">
        <v>545000</v>
      </c>
      <c r="I3" s="2">
        <f t="shared" ref="I3:I66" si="0">LEN(B3) - LEN(TRIM(B3))</f>
        <v>3</v>
      </c>
      <c r="J3" s="2">
        <v>1</v>
      </c>
      <c r="K3" s="2">
        <f>_xlfn.MAXIFS($I$3:$I$210,$J$3:$J$210,J3)</f>
        <v>6</v>
      </c>
      <c r="L3" t="b" cm="1">
        <f t="array" ref="L3">BoldFont(H3)</f>
        <v>1</v>
      </c>
      <c r="M3" t="str">
        <f t="shared" ref="M3:M66" si="1">IF(I3=3,TRIM(B3),M2)</f>
        <v>Programme Management</v>
      </c>
      <c r="N3" t="str">
        <f>IF(I3=6,IF(K3=6, M3,TRIM(B3)),N2)</f>
        <v>sub_pack</v>
      </c>
      <c r="O3" t="str">
        <f>IF(K3=I3,TRIM(B3),"")</f>
        <v/>
      </c>
      <c r="P3" s="4">
        <f>DATEVALUE(RIGHT(D3,LEN(D3)-4))</f>
        <v>44482</v>
      </c>
      <c r="Q3" s="4">
        <f>DATEVALUE(RIGHT(E3,LEN(E3)-4))</f>
        <v>45461</v>
      </c>
      <c r="R3" s="5">
        <f>G3</f>
        <v>545000</v>
      </c>
      <c r="S3" s="5">
        <f>H3</f>
        <v>545000</v>
      </c>
    </row>
    <row r="4" spans="1:19" ht="30" x14ac:dyDescent="0.25">
      <c r="A4" s="7"/>
      <c r="B4" s="11" t="s">
        <v>13</v>
      </c>
      <c r="C4" s="11" t="s">
        <v>12</v>
      </c>
      <c r="D4" s="11" t="s">
        <v>9</v>
      </c>
      <c r="E4" s="8" t="s">
        <v>10</v>
      </c>
      <c r="F4" s="12">
        <v>0.5</v>
      </c>
      <c r="G4" s="14">
        <v>545000</v>
      </c>
      <c r="H4" s="14">
        <v>545000</v>
      </c>
      <c r="I4" s="2">
        <f t="shared" si="0"/>
        <v>6</v>
      </c>
      <c r="J4" s="2">
        <f>IF(I4=3,J3+1,J3)</f>
        <v>1</v>
      </c>
      <c r="K4" s="2">
        <f t="shared" ref="K4:K67" si="2">_xlfn.MAXIFS($I$3:$I$210,$J$3:$J$210,J4)</f>
        <v>6</v>
      </c>
      <c r="L4" t="b" cm="1">
        <f t="array" ref="L4">BoldFont(H4)</f>
        <v>0</v>
      </c>
      <c r="M4" t="str">
        <f t="shared" si="1"/>
        <v>Programme Management</v>
      </c>
      <c r="N4" t="str">
        <f t="shared" ref="N4:N67" si="3">IF(I4=6,IF(K4=6, M4,TRIM(B4)),N3)</f>
        <v>Programme Management</v>
      </c>
      <c r="O4" t="str">
        <f t="shared" ref="O4:O67" si="4">IF(K4=I4,TRIM(B4),"")</f>
        <v>LS Management Fee</v>
      </c>
      <c r="P4" s="4">
        <f t="shared" ref="P4:P67" si="5">DATEVALUE(RIGHT(D4,LEN(D4)-4))</f>
        <v>44482</v>
      </c>
      <c r="Q4" s="4">
        <f t="shared" ref="Q4:Q67" si="6">DATEVALUE(RIGHT(E4,LEN(E4)-4))</f>
        <v>45461</v>
      </c>
      <c r="R4" s="5">
        <f t="shared" ref="R4:R67" si="7">G4</f>
        <v>545000</v>
      </c>
      <c r="S4" s="5">
        <f t="shared" ref="S4:S67" si="8">H4</f>
        <v>545000</v>
      </c>
    </row>
    <row r="5" spans="1:19" ht="30" hidden="1" x14ac:dyDescent="0.25">
      <c r="A5" s="7"/>
      <c r="B5" s="8" t="s">
        <v>14</v>
      </c>
      <c r="C5" s="8" t="s">
        <v>15</v>
      </c>
      <c r="D5" s="8" t="s">
        <v>16</v>
      </c>
      <c r="E5" s="8" t="s">
        <v>17</v>
      </c>
      <c r="F5" s="9">
        <v>0.99</v>
      </c>
      <c r="G5" s="10">
        <v>2403043.06</v>
      </c>
      <c r="H5" s="10">
        <v>3000000</v>
      </c>
      <c r="I5" s="2">
        <f t="shared" si="0"/>
        <v>3</v>
      </c>
      <c r="J5" s="2">
        <f t="shared" ref="J5:J68" si="9">IF(I5=3,J4+1,J4)</f>
        <v>2</v>
      </c>
      <c r="K5" s="2">
        <f t="shared" si="2"/>
        <v>9</v>
      </c>
      <c r="L5" t="b" cm="1">
        <f t="array" ref="L5">BoldFont(H5)</f>
        <v>1</v>
      </c>
      <c r="M5" t="str">
        <f t="shared" si="1"/>
        <v>Glenorchy Corridor Package</v>
      </c>
      <c r="N5" t="str">
        <f t="shared" si="3"/>
        <v>Programme Management</v>
      </c>
      <c r="O5" t="str">
        <f t="shared" si="4"/>
        <v/>
      </c>
      <c r="P5" s="4">
        <f t="shared" si="5"/>
        <v>44529</v>
      </c>
      <c r="Q5" s="4">
        <f t="shared" si="6"/>
        <v>45261</v>
      </c>
      <c r="R5" s="5">
        <f t="shared" si="7"/>
        <v>2403043.06</v>
      </c>
      <c r="S5" s="5">
        <f t="shared" si="8"/>
        <v>3000000</v>
      </c>
    </row>
    <row r="6" spans="1:19" ht="30" hidden="1" x14ac:dyDescent="0.25">
      <c r="A6" s="8">
        <v>152526</v>
      </c>
      <c r="B6" s="8" t="s">
        <v>18</v>
      </c>
      <c r="C6" s="8" t="s">
        <v>19</v>
      </c>
      <c r="D6" s="8" t="s">
        <v>16</v>
      </c>
      <c r="E6" s="8" t="s">
        <v>20</v>
      </c>
      <c r="F6" s="9">
        <v>1</v>
      </c>
      <c r="G6" s="10">
        <v>935288.06</v>
      </c>
      <c r="H6" s="10">
        <v>640000</v>
      </c>
      <c r="I6" s="2">
        <f t="shared" si="0"/>
        <v>6</v>
      </c>
      <c r="J6" s="2">
        <f t="shared" si="9"/>
        <v>2</v>
      </c>
      <c r="K6" s="2">
        <f t="shared" si="2"/>
        <v>9</v>
      </c>
      <c r="L6" t="b" cm="1">
        <f t="array" ref="L6">BoldFont(H6)</f>
        <v>1</v>
      </c>
      <c r="M6" t="str">
        <f t="shared" si="1"/>
        <v>Glenorchy Corridor Package</v>
      </c>
      <c r="N6" t="str">
        <f t="shared" si="3"/>
        <v>Glenorchy Road North Barriers '21</v>
      </c>
      <c r="O6" t="str">
        <f t="shared" si="4"/>
        <v/>
      </c>
      <c r="P6" s="4">
        <f t="shared" si="5"/>
        <v>44529</v>
      </c>
      <c r="Q6" s="4">
        <f t="shared" si="6"/>
        <v>44911</v>
      </c>
      <c r="R6" s="5">
        <f t="shared" si="7"/>
        <v>935288.06</v>
      </c>
      <c r="S6" s="5">
        <f t="shared" si="8"/>
        <v>640000</v>
      </c>
    </row>
    <row r="7" spans="1:19" ht="45" x14ac:dyDescent="0.25">
      <c r="A7" s="7"/>
      <c r="B7" s="15" t="s">
        <v>21</v>
      </c>
      <c r="C7" s="11" t="s">
        <v>22</v>
      </c>
      <c r="D7" s="11" t="s">
        <v>16</v>
      </c>
      <c r="E7" s="11" t="s">
        <v>23</v>
      </c>
      <c r="F7" s="12">
        <v>1</v>
      </c>
      <c r="G7" s="14">
        <v>17789.5</v>
      </c>
      <c r="H7" s="14">
        <v>25600</v>
      </c>
      <c r="I7" s="2">
        <f t="shared" si="0"/>
        <v>9</v>
      </c>
      <c r="J7" s="2">
        <f t="shared" si="9"/>
        <v>2</v>
      </c>
      <c r="K7" s="2">
        <f t="shared" si="2"/>
        <v>9</v>
      </c>
      <c r="L7" t="b" cm="1">
        <f t="array" ref="L7">BoldFont(H7)</f>
        <v>0</v>
      </c>
      <c r="M7" t="str">
        <f t="shared" si="1"/>
        <v>Glenorchy Corridor Package</v>
      </c>
      <c r="N7" t="str">
        <f t="shared" si="3"/>
        <v>Glenorchy Road North Barriers '21</v>
      </c>
      <c r="O7" t="str">
        <f t="shared" si="4"/>
        <v>Concept Design including investigations and consultations where applicable</v>
      </c>
      <c r="P7" s="4">
        <f t="shared" si="5"/>
        <v>44529</v>
      </c>
      <c r="Q7" s="4">
        <f t="shared" si="6"/>
        <v>44615</v>
      </c>
      <c r="R7" s="5">
        <f t="shared" si="7"/>
        <v>17789.5</v>
      </c>
      <c r="S7" s="5">
        <f t="shared" si="8"/>
        <v>25600</v>
      </c>
    </row>
    <row r="8" spans="1:19" ht="30" x14ac:dyDescent="0.25">
      <c r="A8" s="7"/>
      <c r="B8" s="15" t="s">
        <v>24</v>
      </c>
      <c r="C8" s="11" t="s">
        <v>25</v>
      </c>
      <c r="D8" s="11" t="s">
        <v>26</v>
      </c>
      <c r="E8" s="11" t="s">
        <v>27</v>
      </c>
      <c r="F8" s="12">
        <v>1</v>
      </c>
      <c r="G8" s="14">
        <v>22500</v>
      </c>
      <c r="H8" s="14">
        <v>38400</v>
      </c>
      <c r="I8" s="2">
        <f t="shared" si="0"/>
        <v>9</v>
      </c>
      <c r="J8" s="2">
        <f t="shared" si="9"/>
        <v>2</v>
      </c>
      <c r="K8" s="2">
        <f t="shared" si="2"/>
        <v>9</v>
      </c>
      <c r="L8" t="b" cm="1">
        <f t="array" ref="L8">BoldFont(H8)</f>
        <v>0</v>
      </c>
      <c r="M8" t="str">
        <f t="shared" si="1"/>
        <v>Glenorchy Corridor Package</v>
      </c>
      <c r="N8" t="str">
        <f t="shared" si="3"/>
        <v>Glenorchy Road North Barriers '21</v>
      </c>
      <c r="O8" t="str">
        <f t="shared" si="4"/>
        <v>Detailed Design</v>
      </c>
      <c r="P8" s="4">
        <f t="shared" si="5"/>
        <v>44616</v>
      </c>
      <c r="Q8" s="4">
        <f t="shared" si="6"/>
        <v>44665</v>
      </c>
      <c r="R8" s="5">
        <f t="shared" si="7"/>
        <v>22500</v>
      </c>
      <c r="S8" s="5">
        <f t="shared" si="8"/>
        <v>38400</v>
      </c>
    </row>
    <row r="9" spans="1:19" ht="30" x14ac:dyDescent="0.25">
      <c r="A9" s="7"/>
      <c r="B9" s="15" t="s">
        <v>28</v>
      </c>
      <c r="C9" s="11" t="s">
        <v>29</v>
      </c>
      <c r="D9" s="11" t="s">
        <v>30</v>
      </c>
      <c r="E9" s="11" t="s">
        <v>31</v>
      </c>
      <c r="F9" s="12">
        <v>1</v>
      </c>
      <c r="G9" s="14">
        <v>0</v>
      </c>
      <c r="H9" s="14">
        <v>0</v>
      </c>
      <c r="I9" s="2">
        <f t="shared" si="0"/>
        <v>9</v>
      </c>
      <c r="J9" s="2">
        <f t="shared" si="9"/>
        <v>2</v>
      </c>
      <c r="K9" s="2">
        <f t="shared" si="2"/>
        <v>9</v>
      </c>
      <c r="L9" t="b" cm="1">
        <f t="array" ref="L9">BoldFont(H9)</f>
        <v>0</v>
      </c>
      <c r="M9" t="str">
        <f t="shared" si="1"/>
        <v>Glenorchy Corridor Package</v>
      </c>
      <c r="N9" t="str">
        <f t="shared" si="3"/>
        <v>Glenorchy Road North Barriers '21</v>
      </c>
      <c r="O9" t="str">
        <f t="shared" si="4"/>
        <v>Tender</v>
      </c>
      <c r="P9" s="4">
        <f t="shared" si="5"/>
        <v>44690</v>
      </c>
      <c r="Q9" s="4">
        <f t="shared" si="6"/>
        <v>44764</v>
      </c>
      <c r="R9" s="5">
        <f t="shared" si="7"/>
        <v>0</v>
      </c>
      <c r="S9" s="5">
        <f t="shared" si="8"/>
        <v>0</v>
      </c>
    </row>
    <row r="10" spans="1:19" ht="30" x14ac:dyDescent="0.25">
      <c r="A10" s="7"/>
      <c r="B10" s="11" t="s">
        <v>32</v>
      </c>
      <c r="C10" s="11" t="s">
        <v>33</v>
      </c>
      <c r="D10" s="11" t="s">
        <v>34</v>
      </c>
      <c r="E10" s="11" t="s">
        <v>20</v>
      </c>
      <c r="F10" s="12">
        <v>1</v>
      </c>
      <c r="G10" s="14">
        <v>31000</v>
      </c>
      <c r="H10" s="14">
        <v>0</v>
      </c>
      <c r="I10" s="2">
        <f t="shared" si="0"/>
        <v>9</v>
      </c>
      <c r="J10" s="2">
        <f t="shared" si="9"/>
        <v>2</v>
      </c>
      <c r="K10" s="2">
        <f t="shared" si="2"/>
        <v>9</v>
      </c>
      <c r="L10" t="b" cm="1">
        <f t="array" ref="L10">BoldFont(H10)</f>
        <v>0</v>
      </c>
      <c r="M10" t="str">
        <f t="shared" si="1"/>
        <v>Glenorchy Corridor Package</v>
      </c>
      <c r="N10" t="str">
        <f t="shared" si="3"/>
        <v>Glenorchy Road North Barriers '21</v>
      </c>
      <c r="O10" t="str">
        <f t="shared" si="4"/>
        <v>MSQA</v>
      </c>
      <c r="P10" s="4">
        <f t="shared" si="5"/>
        <v>44781</v>
      </c>
      <c r="Q10" s="4">
        <f t="shared" si="6"/>
        <v>44911</v>
      </c>
      <c r="R10" s="5">
        <f t="shared" si="7"/>
        <v>31000</v>
      </c>
      <c r="S10" s="5">
        <f t="shared" si="8"/>
        <v>0</v>
      </c>
    </row>
    <row r="11" spans="1:19" ht="30" x14ac:dyDescent="0.25">
      <c r="A11" s="7"/>
      <c r="B11" s="15" t="s">
        <v>35</v>
      </c>
      <c r="C11" s="11" t="s">
        <v>33</v>
      </c>
      <c r="D11" s="11" t="s">
        <v>34</v>
      </c>
      <c r="E11" s="11" t="s">
        <v>20</v>
      </c>
      <c r="F11" s="12">
        <v>1</v>
      </c>
      <c r="G11" s="14">
        <v>863998.56</v>
      </c>
      <c r="H11" s="14">
        <v>576000</v>
      </c>
      <c r="I11" s="2">
        <f t="shared" si="0"/>
        <v>9</v>
      </c>
      <c r="J11" s="2">
        <f t="shared" si="9"/>
        <v>2</v>
      </c>
      <c r="K11" s="2">
        <f t="shared" si="2"/>
        <v>9</v>
      </c>
      <c r="L11" t="b" cm="1">
        <f t="array" ref="L11">BoldFont(H11)</f>
        <v>0</v>
      </c>
      <c r="M11" t="str">
        <f t="shared" si="1"/>
        <v>Glenorchy Corridor Package</v>
      </c>
      <c r="N11" t="str">
        <f t="shared" si="3"/>
        <v>Glenorchy Road North Barriers '21</v>
      </c>
      <c r="O11" t="str">
        <f t="shared" si="4"/>
        <v>Construction</v>
      </c>
      <c r="P11" s="4">
        <f t="shared" si="5"/>
        <v>44781</v>
      </c>
      <c r="Q11" s="4">
        <f t="shared" si="6"/>
        <v>44911</v>
      </c>
      <c r="R11" s="5">
        <f t="shared" si="7"/>
        <v>863998.56</v>
      </c>
      <c r="S11" s="5">
        <f t="shared" si="8"/>
        <v>576000</v>
      </c>
    </row>
    <row r="12" spans="1:19" ht="30" hidden="1" x14ac:dyDescent="0.25">
      <c r="A12" s="8">
        <v>152526</v>
      </c>
      <c r="B12" s="8" t="s">
        <v>36</v>
      </c>
      <c r="C12" s="8" t="s">
        <v>19</v>
      </c>
      <c r="D12" s="8" t="s">
        <v>16</v>
      </c>
      <c r="E12" s="8" t="s">
        <v>20</v>
      </c>
      <c r="F12" s="9">
        <v>1</v>
      </c>
      <c r="G12" s="10">
        <v>0</v>
      </c>
      <c r="H12" s="10">
        <v>50000</v>
      </c>
      <c r="I12" s="2">
        <f t="shared" si="0"/>
        <v>6</v>
      </c>
      <c r="J12" s="2">
        <f t="shared" si="9"/>
        <v>2</v>
      </c>
      <c r="K12" s="2">
        <f t="shared" si="2"/>
        <v>9</v>
      </c>
      <c r="L12" t="b" cm="1">
        <f t="array" ref="L12">BoldFont(H12)</f>
        <v>1</v>
      </c>
      <c r="M12" t="str">
        <f t="shared" si="1"/>
        <v>Glenorchy Corridor Package</v>
      </c>
      <c r="N12" t="str">
        <f t="shared" si="3"/>
        <v>Glenorchy Various MI '21</v>
      </c>
      <c r="O12" t="str">
        <f t="shared" si="4"/>
        <v/>
      </c>
      <c r="P12" s="4">
        <f t="shared" si="5"/>
        <v>44529</v>
      </c>
      <c r="Q12" s="4">
        <f t="shared" si="6"/>
        <v>44911</v>
      </c>
      <c r="R12" s="5">
        <f t="shared" si="7"/>
        <v>0</v>
      </c>
      <c r="S12" s="5">
        <f t="shared" si="8"/>
        <v>50000</v>
      </c>
    </row>
    <row r="13" spans="1:19" ht="45" x14ac:dyDescent="0.25">
      <c r="A13" s="7"/>
      <c r="B13" s="15" t="s">
        <v>21</v>
      </c>
      <c r="C13" s="11" t="s">
        <v>22</v>
      </c>
      <c r="D13" s="11" t="s">
        <v>16</v>
      </c>
      <c r="E13" s="11" t="s">
        <v>23</v>
      </c>
      <c r="F13" s="12">
        <v>1</v>
      </c>
      <c r="G13" s="14">
        <v>0</v>
      </c>
      <c r="H13" s="14">
        <v>2000</v>
      </c>
      <c r="I13" s="2">
        <f t="shared" si="0"/>
        <v>9</v>
      </c>
      <c r="J13" s="2">
        <f t="shared" si="9"/>
        <v>2</v>
      </c>
      <c r="K13" s="2">
        <f t="shared" si="2"/>
        <v>9</v>
      </c>
      <c r="L13" t="b" cm="1">
        <f t="array" ref="L13">BoldFont(H13)</f>
        <v>0</v>
      </c>
      <c r="M13" t="str">
        <f t="shared" si="1"/>
        <v>Glenorchy Corridor Package</v>
      </c>
      <c r="N13" t="str">
        <f t="shared" si="3"/>
        <v>Glenorchy Various MI '21</v>
      </c>
      <c r="O13" t="str">
        <f t="shared" si="4"/>
        <v>Concept Design including investigations and consultations where applicable</v>
      </c>
      <c r="P13" s="4">
        <f t="shared" si="5"/>
        <v>44529</v>
      </c>
      <c r="Q13" s="4">
        <f t="shared" si="6"/>
        <v>44615</v>
      </c>
      <c r="R13" s="5">
        <f t="shared" si="7"/>
        <v>0</v>
      </c>
      <c r="S13" s="5">
        <f t="shared" si="8"/>
        <v>2000</v>
      </c>
    </row>
    <row r="14" spans="1:19" ht="30" x14ac:dyDescent="0.25">
      <c r="A14" s="7"/>
      <c r="B14" s="15" t="s">
        <v>24</v>
      </c>
      <c r="C14" s="11" t="s">
        <v>37</v>
      </c>
      <c r="D14" s="11" t="s">
        <v>26</v>
      </c>
      <c r="E14" s="11" t="s">
        <v>38</v>
      </c>
      <c r="F14" s="12">
        <v>1</v>
      </c>
      <c r="G14" s="14">
        <v>0</v>
      </c>
      <c r="H14" s="14">
        <v>3000</v>
      </c>
      <c r="I14" s="2">
        <f t="shared" si="0"/>
        <v>9</v>
      </c>
      <c r="J14" s="2">
        <f t="shared" si="9"/>
        <v>2</v>
      </c>
      <c r="K14" s="2">
        <f t="shared" si="2"/>
        <v>9</v>
      </c>
      <c r="L14" t="b" cm="1">
        <f t="array" ref="L14">BoldFont(H14)</f>
        <v>0</v>
      </c>
      <c r="M14" t="str">
        <f t="shared" si="1"/>
        <v>Glenorchy Corridor Package</v>
      </c>
      <c r="N14" t="str">
        <f t="shared" si="3"/>
        <v>Glenorchy Various MI '21</v>
      </c>
      <c r="O14" t="str">
        <f t="shared" si="4"/>
        <v>Detailed Design</v>
      </c>
      <c r="P14" s="4">
        <f t="shared" si="5"/>
        <v>44616</v>
      </c>
      <c r="Q14" s="4">
        <f t="shared" si="6"/>
        <v>44657</v>
      </c>
      <c r="R14" s="5">
        <f t="shared" si="7"/>
        <v>0</v>
      </c>
      <c r="S14" s="5">
        <f t="shared" si="8"/>
        <v>3000</v>
      </c>
    </row>
    <row r="15" spans="1:19" ht="30" x14ac:dyDescent="0.25">
      <c r="A15" s="7"/>
      <c r="B15" s="11" t="s">
        <v>32</v>
      </c>
      <c r="C15" s="11" t="s">
        <v>33</v>
      </c>
      <c r="D15" s="11" t="s">
        <v>34</v>
      </c>
      <c r="E15" s="11" t="s">
        <v>20</v>
      </c>
      <c r="F15" s="12">
        <v>1</v>
      </c>
      <c r="G15" s="14">
        <v>0</v>
      </c>
      <c r="H15" s="14">
        <v>0</v>
      </c>
      <c r="I15" s="2">
        <f t="shared" si="0"/>
        <v>9</v>
      </c>
      <c r="J15" s="2">
        <f t="shared" si="9"/>
        <v>2</v>
      </c>
      <c r="K15" s="2">
        <f t="shared" si="2"/>
        <v>9</v>
      </c>
      <c r="L15" t="b" cm="1">
        <f t="array" ref="L15">BoldFont(H15)</f>
        <v>0</v>
      </c>
      <c r="M15" t="str">
        <f t="shared" si="1"/>
        <v>Glenorchy Corridor Package</v>
      </c>
      <c r="N15" t="str">
        <f t="shared" si="3"/>
        <v>Glenorchy Various MI '21</v>
      </c>
      <c r="O15" t="str">
        <f t="shared" si="4"/>
        <v>MSQA</v>
      </c>
      <c r="P15" s="4">
        <f t="shared" si="5"/>
        <v>44781</v>
      </c>
      <c r="Q15" s="4">
        <f t="shared" si="6"/>
        <v>44911</v>
      </c>
      <c r="R15" s="5">
        <f t="shared" si="7"/>
        <v>0</v>
      </c>
      <c r="S15" s="5">
        <f t="shared" si="8"/>
        <v>0</v>
      </c>
    </row>
    <row r="16" spans="1:19" ht="30" x14ac:dyDescent="0.25">
      <c r="A16" s="7"/>
      <c r="B16" s="15" t="s">
        <v>194</v>
      </c>
      <c r="C16" s="11" t="s">
        <v>33</v>
      </c>
      <c r="D16" s="11" t="s">
        <v>34</v>
      </c>
      <c r="E16" s="11" t="s">
        <v>20</v>
      </c>
      <c r="F16" s="12">
        <v>1</v>
      </c>
      <c r="G16" s="14">
        <v>0</v>
      </c>
      <c r="H16" s="14">
        <v>45000</v>
      </c>
      <c r="I16" s="2">
        <f t="shared" si="0"/>
        <v>9</v>
      </c>
      <c r="J16" s="2">
        <f t="shared" si="9"/>
        <v>2</v>
      </c>
      <c r="K16" s="2">
        <f t="shared" si="2"/>
        <v>9</v>
      </c>
      <c r="L16" t="b" cm="1">
        <f t="array" ref="L16">BoldFont(H16)</f>
        <v>0</v>
      </c>
      <c r="M16" t="str">
        <f t="shared" si="1"/>
        <v>Glenorchy Corridor Package</v>
      </c>
      <c r="N16" t="str">
        <f t="shared" si="3"/>
        <v>Glenorchy Various MI '21</v>
      </c>
      <c r="O16" t="str">
        <f t="shared" si="4"/>
        <v>Construction</v>
      </c>
      <c r="P16" s="4">
        <f t="shared" si="5"/>
        <v>44781</v>
      </c>
      <c r="Q16" s="4">
        <f t="shared" si="6"/>
        <v>44911</v>
      </c>
      <c r="R16" s="5">
        <f t="shared" si="7"/>
        <v>0</v>
      </c>
      <c r="S16" s="5">
        <f t="shared" si="8"/>
        <v>45000</v>
      </c>
    </row>
    <row r="17" spans="1:19" ht="30" hidden="1" x14ac:dyDescent="0.25">
      <c r="A17" s="8">
        <v>152526</v>
      </c>
      <c r="B17" s="8" t="s">
        <v>39</v>
      </c>
      <c r="C17" s="8" t="s">
        <v>40</v>
      </c>
      <c r="D17" s="8" t="s">
        <v>41</v>
      </c>
      <c r="E17" s="8" t="s">
        <v>20</v>
      </c>
      <c r="F17" s="9">
        <v>1</v>
      </c>
      <c r="G17" s="10">
        <v>0</v>
      </c>
      <c r="H17" s="10">
        <v>200000</v>
      </c>
      <c r="I17" s="2">
        <f t="shared" si="0"/>
        <v>6</v>
      </c>
      <c r="J17" s="2">
        <f t="shared" si="9"/>
        <v>2</v>
      </c>
      <c r="K17" s="2">
        <f t="shared" si="2"/>
        <v>9</v>
      </c>
      <c r="L17" t="b" cm="1">
        <f t="array" ref="L17">BoldFont(H17)</f>
        <v>1</v>
      </c>
      <c r="M17" t="str">
        <f t="shared" si="1"/>
        <v>Glenorchy Corridor Package</v>
      </c>
      <c r="N17" t="str">
        <f t="shared" si="3"/>
        <v>Glenorchy Road South Barriers</v>
      </c>
      <c r="O17" t="str">
        <f t="shared" si="4"/>
        <v/>
      </c>
      <c r="P17" s="4">
        <f t="shared" si="5"/>
        <v>44588</v>
      </c>
      <c r="Q17" s="4">
        <f t="shared" si="6"/>
        <v>44911</v>
      </c>
      <c r="R17" s="5">
        <f t="shared" si="7"/>
        <v>0</v>
      </c>
      <c r="S17" s="5">
        <f t="shared" si="8"/>
        <v>200000</v>
      </c>
    </row>
    <row r="18" spans="1:19" ht="45" x14ac:dyDescent="0.25">
      <c r="A18" s="7"/>
      <c r="B18" s="15" t="s">
        <v>21</v>
      </c>
      <c r="C18" s="11" t="s">
        <v>42</v>
      </c>
      <c r="D18" s="11" t="s">
        <v>41</v>
      </c>
      <c r="E18" s="11" t="s">
        <v>23</v>
      </c>
      <c r="F18" s="12">
        <v>1</v>
      </c>
      <c r="G18" s="14">
        <v>0</v>
      </c>
      <c r="H18" s="14">
        <v>8000</v>
      </c>
      <c r="I18" s="2">
        <f t="shared" si="0"/>
        <v>9</v>
      </c>
      <c r="J18" s="2">
        <f t="shared" si="9"/>
        <v>2</v>
      </c>
      <c r="K18" s="2">
        <f t="shared" si="2"/>
        <v>9</v>
      </c>
      <c r="L18" t="b" cm="1">
        <f t="array" ref="L18">BoldFont(H18)</f>
        <v>0</v>
      </c>
      <c r="M18" t="str">
        <f t="shared" si="1"/>
        <v>Glenorchy Corridor Package</v>
      </c>
      <c r="N18" t="str">
        <f t="shared" si="3"/>
        <v>Glenorchy Road South Barriers</v>
      </c>
      <c r="O18" t="str">
        <f t="shared" si="4"/>
        <v>Concept Design including investigations and consultations where applicable</v>
      </c>
      <c r="P18" s="4">
        <f t="shared" si="5"/>
        <v>44588</v>
      </c>
      <c r="Q18" s="4">
        <f t="shared" si="6"/>
        <v>44615</v>
      </c>
      <c r="R18" s="5">
        <f t="shared" si="7"/>
        <v>0</v>
      </c>
      <c r="S18" s="5">
        <f t="shared" si="8"/>
        <v>8000</v>
      </c>
    </row>
    <row r="19" spans="1:19" ht="30" x14ac:dyDescent="0.25">
      <c r="A19" s="7"/>
      <c r="B19" s="15" t="s">
        <v>24</v>
      </c>
      <c r="C19" s="11" t="s">
        <v>37</v>
      </c>
      <c r="D19" s="11" t="s">
        <v>26</v>
      </c>
      <c r="E19" s="11" t="s">
        <v>38</v>
      </c>
      <c r="F19" s="12">
        <v>1</v>
      </c>
      <c r="G19" s="14">
        <v>0</v>
      </c>
      <c r="H19" s="14">
        <v>12000</v>
      </c>
      <c r="I19" s="2">
        <f t="shared" si="0"/>
        <v>9</v>
      </c>
      <c r="J19" s="2">
        <f t="shared" si="9"/>
        <v>2</v>
      </c>
      <c r="K19" s="2">
        <f t="shared" si="2"/>
        <v>9</v>
      </c>
      <c r="L19" t="b" cm="1">
        <f t="array" ref="L19">BoldFont(H19)</f>
        <v>0</v>
      </c>
      <c r="M19" t="str">
        <f t="shared" si="1"/>
        <v>Glenorchy Corridor Package</v>
      </c>
      <c r="N19" t="str">
        <f t="shared" si="3"/>
        <v>Glenorchy Road South Barriers</v>
      </c>
      <c r="O19" t="str">
        <f t="shared" si="4"/>
        <v>Detailed Design</v>
      </c>
      <c r="P19" s="4">
        <f t="shared" si="5"/>
        <v>44616</v>
      </c>
      <c r="Q19" s="4">
        <f t="shared" si="6"/>
        <v>44657</v>
      </c>
      <c r="R19" s="5">
        <f t="shared" si="7"/>
        <v>0</v>
      </c>
      <c r="S19" s="5">
        <f t="shared" si="8"/>
        <v>12000</v>
      </c>
    </row>
    <row r="20" spans="1:19" ht="30" x14ac:dyDescent="0.25">
      <c r="A20" s="7"/>
      <c r="B20" s="11" t="s">
        <v>32</v>
      </c>
      <c r="C20" s="11" t="s">
        <v>33</v>
      </c>
      <c r="D20" s="11" t="s">
        <v>34</v>
      </c>
      <c r="E20" s="11" t="s">
        <v>20</v>
      </c>
      <c r="F20" s="12">
        <v>1</v>
      </c>
      <c r="G20" s="14">
        <v>0</v>
      </c>
      <c r="H20" s="14">
        <v>0</v>
      </c>
      <c r="I20" s="2">
        <f t="shared" si="0"/>
        <v>9</v>
      </c>
      <c r="J20" s="2">
        <f t="shared" si="9"/>
        <v>2</v>
      </c>
      <c r="K20" s="2">
        <f t="shared" si="2"/>
        <v>9</v>
      </c>
      <c r="L20" t="b" cm="1">
        <f t="array" ref="L20">BoldFont(H20)</f>
        <v>0</v>
      </c>
      <c r="M20" t="str">
        <f t="shared" si="1"/>
        <v>Glenorchy Corridor Package</v>
      </c>
      <c r="N20" t="str">
        <f t="shared" si="3"/>
        <v>Glenorchy Road South Barriers</v>
      </c>
      <c r="O20" t="str">
        <f t="shared" si="4"/>
        <v>MSQA</v>
      </c>
      <c r="P20" s="4">
        <f t="shared" si="5"/>
        <v>44781</v>
      </c>
      <c r="Q20" s="4">
        <f t="shared" si="6"/>
        <v>44911</v>
      </c>
      <c r="R20" s="5">
        <f t="shared" si="7"/>
        <v>0</v>
      </c>
      <c r="S20" s="5">
        <f t="shared" si="8"/>
        <v>0</v>
      </c>
    </row>
    <row r="21" spans="1:19" ht="30" x14ac:dyDescent="0.25">
      <c r="A21" s="7"/>
      <c r="B21" s="15" t="s">
        <v>194</v>
      </c>
      <c r="C21" s="11" t="s">
        <v>33</v>
      </c>
      <c r="D21" s="11" t="s">
        <v>34</v>
      </c>
      <c r="E21" s="11" t="s">
        <v>20</v>
      </c>
      <c r="F21" s="12">
        <v>1</v>
      </c>
      <c r="G21" s="14">
        <v>0</v>
      </c>
      <c r="H21" s="14">
        <v>180000</v>
      </c>
      <c r="I21" s="2">
        <f t="shared" si="0"/>
        <v>9</v>
      </c>
      <c r="J21" s="2">
        <f t="shared" si="9"/>
        <v>2</v>
      </c>
      <c r="K21" s="2">
        <f t="shared" si="2"/>
        <v>9</v>
      </c>
      <c r="L21" t="b" cm="1">
        <f t="array" ref="L21">BoldFont(H21)</f>
        <v>0</v>
      </c>
      <c r="M21" t="str">
        <f t="shared" si="1"/>
        <v>Glenorchy Corridor Package</v>
      </c>
      <c r="N21" t="str">
        <f t="shared" si="3"/>
        <v>Glenorchy Road South Barriers</v>
      </c>
      <c r="O21" t="str">
        <f t="shared" si="4"/>
        <v>Construction</v>
      </c>
      <c r="P21" s="4">
        <f t="shared" si="5"/>
        <v>44781</v>
      </c>
      <c r="Q21" s="4">
        <f t="shared" si="6"/>
        <v>44911</v>
      </c>
      <c r="R21" s="5">
        <f t="shared" si="7"/>
        <v>0</v>
      </c>
      <c r="S21" s="5">
        <f t="shared" si="8"/>
        <v>180000</v>
      </c>
    </row>
    <row r="22" spans="1:19" ht="30" hidden="1" x14ac:dyDescent="0.25">
      <c r="A22" s="8">
        <v>152541</v>
      </c>
      <c r="B22" s="8" t="s">
        <v>43</v>
      </c>
      <c r="C22" s="8" t="s">
        <v>44</v>
      </c>
      <c r="D22" s="8" t="s">
        <v>45</v>
      </c>
      <c r="E22" s="8" t="s">
        <v>20</v>
      </c>
      <c r="F22" s="9">
        <v>1</v>
      </c>
      <c r="G22" s="10">
        <v>0</v>
      </c>
      <c r="H22" s="10">
        <v>30000</v>
      </c>
      <c r="I22" s="2">
        <f t="shared" si="0"/>
        <v>6</v>
      </c>
      <c r="J22" s="2">
        <f t="shared" si="9"/>
        <v>2</v>
      </c>
      <c r="K22" s="2">
        <f t="shared" si="2"/>
        <v>9</v>
      </c>
      <c r="L22" t="b" cm="1">
        <f t="array" ref="L22">BoldFont(H22)</f>
        <v>1</v>
      </c>
      <c r="M22" t="str">
        <f t="shared" si="1"/>
        <v>Glenorchy Corridor Package</v>
      </c>
      <c r="N22" t="str">
        <f t="shared" si="3"/>
        <v>Paradise Barriers and Signage '21</v>
      </c>
      <c r="O22" t="str">
        <f t="shared" si="4"/>
        <v/>
      </c>
      <c r="P22" s="4">
        <f t="shared" si="5"/>
        <v>44602</v>
      </c>
      <c r="Q22" s="4">
        <f t="shared" si="6"/>
        <v>44911</v>
      </c>
      <c r="R22" s="5">
        <f t="shared" si="7"/>
        <v>0</v>
      </c>
      <c r="S22" s="5">
        <f t="shared" si="8"/>
        <v>30000</v>
      </c>
    </row>
    <row r="23" spans="1:19" ht="45" x14ac:dyDescent="0.25">
      <c r="A23" s="7"/>
      <c r="B23" s="15" t="s">
        <v>21</v>
      </c>
      <c r="C23" s="11" t="s">
        <v>46</v>
      </c>
      <c r="D23" s="11" t="s">
        <v>45</v>
      </c>
      <c r="E23" s="11" t="s">
        <v>23</v>
      </c>
      <c r="F23" s="12">
        <v>1</v>
      </c>
      <c r="G23" s="14">
        <v>0</v>
      </c>
      <c r="H23" s="14">
        <v>1200</v>
      </c>
      <c r="I23" s="2">
        <f t="shared" si="0"/>
        <v>9</v>
      </c>
      <c r="J23" s="2">
        <f t="shared" si="9"/>
        <v>2</v>
      </c>
      <c r="K23" s="2">
        <f t="shared" si="2"/>
        <v>9</v>
      </c>
      <c r="L23" t="b" cm="1">
        <f t="array" ref="L23">BoldFont(H23)</f>
        <v>0</v>
      </c>
      <c r="M23" t="str">
        <f t="shared" si="1"/>
        <v>Glenorchy Corridor Package</v>
      </c>
      <c r="N23" t="str">
        <f t="shared" si="3"/>
        <v>Paradise Barriers and Signage '21</v>
      </c>
      <c r="O23" t="str">
        <f t="shared" si="4"/>
        <v>Concept Design including investigations and consultations where applicable</v>
      </c>
      <c r="P23" s="4">
        <f t="shared" si="5"/>
        <v>44602</v>
      </c>
      <c r="Q23" s="4">
        <f t="shared" si="6"/>
        <v>44615</v>
      </c>
      <c r="R23" s="5">
        <f t="shared" si="7"/>
        <v>0</v>
      </c>
      <c r="S23" s="5">
        <f t="shared" si="8"/>
        <v>1200</v>
      </c>
    </row>
    <row r="24" spans="1:19" ht="30" x14ac:dyDescent="0.25">
      <c r="A24" s="7"/>
      <c r="B24" s="15" t="s">
        <v>24</v>
      </c>
      <c r="C24" s="11" t="s">
        <v>37</v>
      </c>
      <c r="D24" s="11" t="s">
        <v>26</v>
      </c>
      <c r="E24" s="11" t="s">
        <v>38</v>
      </c>
      <c r="F24" s="12">
        <v>1</v>
      </c>
      <c r="G24" s="14">
        <v>0</v>
      </c>
      <c r="H24" s="14">
        <v>1800</v>
      </c>
      <c r="I24" s="2">
        <f t="shared" si="0"/>
        <v>9</v>
      </c>
      <c r="J24" s="2">
        <f t="shared" si="9"/>
        <v>2</v>
      </c>
      <c r="K24" s="2">
        <f t="shared" si="2"/>
        <v>9</v>
      </c>
      <c r="L24" t="b" cm="1">
        <f t="array" ref="L24">BoldFont(H24)</f>
        <v>0</v>
      </c>
      <c r="M24" t="str">
        <f t="shared" si="1"/>
        <v>Glenorchy Corridor Package</v>
      </c>
      <c r="N24" t="str">
        <f t="shared" si="3"/>
        <v>Paradise Barriers and Signage '21</v>
      </c>
      <c r="O24" t="str">
        <f t="shared" si="4"/>
        <v>Detailed Design</v>
      </c>
      <c r="P24" s="4">
        <f t="shared" si="5"/>
        <v>44616</v>
      </c>
      <c r="Q24" s="4">
        <f t="shared" si="6"/>
        <v>44657</v>
      </c>
      <c r="R24" s="5">
        <f t="shared" si="7"/>
        <v>0</v>
      </c>
      <c r="S24" s="5">
        <f t="shared" si="8"/>
        <v>1800</v>
      </c>
    </row>
    <row r="25" spans="1:19" ht="30" x14ac:dyDescent="0.25">
      <c r="A25" s="7"/>
      <c r="B25" s="11" t="s">
        <v>32</v>
      </c>
      <c r="C25" s="11" t="s">
        <v>33</v>
      </c>
      <c r="D25" s="11" t="s">
        <v>34</v>
      </c>
      <c r="E25" s="11" t="s">
        <v>20</v>
      </c>
      <c r="F25" s="12">
        <v>1</v>
      </c>
      <c r="G25" s="14">
        <v>0</v>
      </c>
      <c r="H25" s="14">
        <v>0</v>
      </c>
      <c r="I25" s="2">
        <f t="shared" si="0"/>
        <v>9</v>
      </c>
      <c r="J25" s="2">
        <f t="shared" si="9"/>
        <v>2</v>
      </c>
      <c r="K25" s="2">
        <f t="shared" si="2"/>
        <v>9</v>
      </c>
      <c r="L25" t="b" cm="1">
        <f t="array" ref="L25">BoldFont(H25)</f>
        <v>0</v>
      </c>
      <c r="M25" t="str">
        <f t="shared" si="1"/>
        <v>Glenorchy Corridor Package</v>
      </c>
      <c r="N25" t="str">
        <f t="shared" si="3"/>
        <v>Paradise Barriers and Signage '21</v>
      </c>
      <c r="O25" t="str">
        <f t="shared" si="4"/>
        <v>MSQA</v>
      </c>
      <c r="P25" s="4">
        <f t="shared" si="5"/>
        <v>44781</v>
      </c>
      <c r="Q25" s="4">
        <f t="shared" si="6"/>
        <v>44911</v>
      </c>
      <c r="R25" s="5">
        <f t="shared" si="7"/>
        <v>0</v>
      </c>
      <c r="S25" s="5">
        <f t="shared" si="8"/>
        <v>0</v>
      </c>
    </row>
    <row r="26" spans="1:19" ht="30" x14ac:dyDescent="0.25">
      <c r="A26" s="7"/>
      <c r="B26" s="15" t="s">
        <v>194</v>
      </c>
      <c r="C26" s="11" t="s">
        <v>33</v>
      </c>
      <c r="D26" s="11" t="s">
        <v>34</v>
      </c>
      <c r="E26" s="11" t="s">
        <v>20</v>
      </c>
      <c r="F26" s="12">
        <v>1</v>
      </c>
      <c r="G26" s="14">
        <v>0</v>
      </c>
      <c r="H26" s="14">
        <v>27000</v>
      </c>
      <c r="I26" s="2">
        <f t="shared" si="0"/>
        <v>9</v>
      </c>
      <c r="J26" s="2">
        <f t="shared" si="9"/>
        <v>2</v>
      </c>
      <c r="K26" s="2">
        <f t="shared" si="2"/>
        <v>9</v>
      </c>
      <c r="L26" t="b" cm="1">
        <f t="array" ref="L26">BoldFont(H26)</f>
        <v>0</v>
      </c>
      <c r="M26" t="str">
        <f t="shared" si="1"/>
        <v>Glenorchy Corridor Package</v>
      </c>
      <c r="N26" t="str">
        <f t="shared" si="3"/>
        <v>Paradise Barriers and Signage '21</v>
      </c>
      <c r="O26" t="str">
        <f t="shared" si="4"/>
        <v>Construction</v>
      </c>
      <c r="P26" s="4">
        <f t="shared" si="5"/>
        <v>44781</v>
      </c>
      <c r="Q26" s="4">
        <f t="shared" si="6"/>
        <v>44911</v>
      </c>
      <c r="R26" s="5">
        <f t="shared" si="7"/>
        <v>0</v>
      </c>
      <c r="S26" s="5">
        <f t="shared" si="8"/>
        <v>27000</v>
      </c>
    </row>
    <row r="27" spans="1:19" ht="30" hidden="1" x14ac:dyDescent="0.25">
      <c r="A27" s="8">
        <v>152549</v>
      </c>
      <c r="B27" s="8" t="s">
        <v>47</v>
      </c>
      <c r="C27" s="8" t="s">
        <v>44</v>
      </c>
      <c r="D27" s="8" t="s">
        <v>45</v>
      </c>
      <c r="E27" s="8" t="s">
        <v>20</v>
      </c>
      <c r="F27" s="9">
        <v>1</v>
      </c>
      <c r="G27" s="10">
        <v>0</v>
      </c>
      <c r="H27" s="10">
        <v>80000</v>
      </c>
      <c r="I27" s="2">
        <f t="shared" si="0"/>
        <v>6</v>
      </c>
      <c r="J27" s="2">
        <f t="shared" si="9"/>
        <v>2</v>
      </c>
      <c r="K27" s="2">
        <f t="shared" si="2"/>
        <v>9</v>
      </c>
      <c r="L27" t="b" cm="1">
        <f t="array" ref="L27">BoldFont(H27)</f>
        <v>1</v>
      </c>
      <c r="M27" t="str">
        <f t="shared" si="1"/>
        <v>Glenorchy Corridor Package</v>
      </c>
      <c r="N27" t="str">
        <f t="shared" si="3"/>
        <v>Routeburn Bridges 1</v>
      </c>
      <c r="O27" t="str">
        <f t="shared" si="4"/>
        <v/>
      </c>
      <c r="P27" s="4">
        <f t="shared" si="5"/>
        <v>44602</v>
      </c>
      <c r="Q27" s="4">
        <f t="shared" si="6"/>
        <v>44911</v>
      </c>
      <c r="R27" s="5">
        <f t="shared" si="7"/>
        <v>0</v>
      </c>
      <c r="S27" s="5">
        <f t="shared" si="8"/>
        <v>80000</v>
      </c>
    </row>
    <row r="28" spans="1:19" ht="45" x14ac:dyDescent="0.25">
      <c r="A28" s="7"/>
      <c r="B28" s="15" t="s">
        <v>21</v>
      </c>
      <c r="C28" s="11" t="s">
        <v>46</v>
      </c>
      <c r="D28" s="11" t="s">
        <v>45</v>
      </c>
      <c r="E28" s="11" t="s">
        <v>23</v>
      </c>
      <c r="F28" s="12">
        <v>1</v>
      </c>
      <c r="G28" s="14">
        <v>0</v>
      </c>
      <c r="H28" s="14">
        <v>3200</v>
      </c>
      <c r="I28" s="2">
        <f t="shared" si="0"/>
        <v>9</v>
      </c>
      <c r="J28" s="2">
        <f t="shared" si="9"/>
        <v>2</v>
      </c>
      <c r="K28" s="2">
        <f t="shared" si="2"/>
        <v>9</v>
      </c>
      <c r="L28" t="b" cm="1">
        <f t="array" ref="L28">BoldFont(H28)</f>
        <v>0</v>
      </c>
      <c r="M28" t="str">
        <f t="shared" si="1"/>
        <v>Glenorchy Corridor Package</v>
      </c>
      <c r="N28" t="str">
        <f t="shared" si="3"/>
        <v>Routeburn Bridges 1</v>
      </c>
      <c r="O28" t="str">
        <f t="shared" si="4"/>
        <v>Concept Design including investigations and consultations where applicable</v>
      </c>
      <c r="P28" s="4">
        <f t="shared" si="5"/>
        <v>44602</v>
      </c>
      <c r="Q28" s="4">
        <f t="shared" si="6"/>
        <v>44615</v>
      </c>
      <c r="R28" s="5">
        <f t="shared" si="7"/>
        <v>0</v>
      </c>
      <c r="S28" s="5">
        <f t="shared" si="8"/>
        <v>3200</v>
      </c>
    </row>
    <row r="29" spans="1:19" ht="30" x14ac:dyDescent="0.25">
      <c r="A29" s="7"/>
      <c r="B29" s="15" t="s">
        <v>24</v>
      </c>
      <c r="C29" s="11" t="s">
        <v>37</v>
      </c>
      <c r="D29" s="11" t="s">
        <v>26</v>
      </c>
      <c r="E29" s="11" t="s">
        <v>38</v>
      </c>
      <c r="F29" s="12">
        <v>1</v>
      </c>
      <c r="G29" s="14">
        <v>0</v>
      </c>
      <c r="H29" s="14">
        <v>4800</v>
      </c>
      <c r="I29" s="2">
        <f t="shared" si="0"/>
        <v>9</v>
      </c>
      <c r="J29" s="2">
        <f t="shared" si="9"/>
        <v>2</v>
      </c>
      <c r="K29" s="2">
        <f t="shared" si="2"/>
        <v>9</v>
      </c>
      <c r="L29" t="b" cm="1">
        <f t="array" ref="L29">BoldFont(H29)</f>
        <v>0</v>
      </c>
      <c r="M29" t="str">
        <f t="shared" si="1"/>
        <v>Glenorchy Corridor Package</v>
      </c>
      <c r="N29" t="str">
        <f t="shared" si="3"/>
        <v>Routeburn Bridges 1</v>
      </c>
      <c r="O29" t="str">
        <f t="shared" si="4"/>
        <v>Detailed Design</v>
      </c>
      <c r="P29" s="4">
        <f t="shared" si="5"/>
        <v>44616</v>
      </c>
      <c r="Q29" s="4">
        <f t="shared" si="6"/>
        <v>44657</v>
      </c>
      <c r="R29" s="5">
        <f t="shared" si="7"/>
        <v>0</v>
      </c>
      <c r="S29" s="5">
        <f t="shared" si="8"/>
        <v>4800</v>
      </c>
    </row>
    <row r="30" spans="1:19" ht="30" x14ac:dyDescent="0.25">
      <c r="A30" s="7"/>
      <c r="B30" s="11" t="s">
        <v>32</v>
      </c>
      <c r="C30" s="11" t="s">
        <v>33</v>
      </c>
      <c r="D30" s="11" t="s">
        <v>34</v>
      </c>
      <c r="E30" s="11" t="s">
        <v>20</v>
      </c>
      <c r="F30" s="12">
        <v>1</v>
      </c>
      <c r="G30" s="14">
        <v>0</v>
      </c>
      <c r="H30" s="14">
        <v>0</v>
      </c>
      <c r="I30" s="2">
        <f t="shared" si="0"/>
        <v>9</v>
      </c>
      <c r="J30" s="2">
        <f t="shared" si="9"/>
        <v>2</v>
      </c>
      <c r="K30" s="2">
        <f t="shared" si="2"/>
        <v>9</v>
      </c>
      <c r="L30" t="b" cm="1">
        <f t="array" ref="L30">BoldFont(H30)</f>
        <v>0</v>
      </c>
      <c r="M30" t="str">
        <f t="shared" si="1"/>
        <v>Glenorchy Corridor Package</v>
      </c>
      <c r="N30" t="str">
        <f t="shared" si="3"/>
        <v>Routeburn Bridges 1</v>
      </c>
      <c r="O30" t="str">
        <f t="shared" si="4"/>
        <v>MSQA</v>
      </c>
      <c r="P30" s="4">
        <f t="shared" si="5"/>
        <v>44781</v>
      </c>
      <c r="Q30" s="4">
        <f t="shared" si="6"/>
        <v>44911</v>
      </c>
      <c r="R30" s="5">
        <f t="shared" si="7"/>
        <v>0</v>
      </c>
      <c r="S30" s="5">
        <f t="shared" si="8"/>
        <v>0</v>
      </c>
    </row>
    <row r="31" spans="1:19" ht="30" x14ac:dyDescent="0.25">
      <c r="A31" s="7"/>
      <c r="B31" s="15" t="s">
        <v>194</v>
      </c>
      <c r="C31" s="11" t="s">
        <v>33</v>
      </c>
      <c r="D31" s="11" t="s">
        <v>34</v>
      </c>
      <c r="E31" s="11" t="s">
        <v>20</v>
      </c>
      <c r="F31" s="12">
        <v>1</v>
      </c>
      <c r="G31" s="14">
        <v>0</v>
      </c>
      <c r="H31" s="14">
        <v>72000</v>
      </c>
      <c r="I31" s="2">
        <f t="shared" si="0"/>
        <v>9</v>
      </c>
      <c r="J31" s="2">
        <f t="shared" si="9"/>
        <v>2</v>
      </c>
      <c r="K31" s="2">
        <f t="shared" si="2"/>
        <v>9</v>
      </c>
      <c r="L31" t="b" cm="1">
        <f t="array" ref="L31">BoldFont(H31)</f>
        <v>0</v>
      </c>
      <c r="M31" t="str">
        <f t="shared" si="1"/>
        <v>Glenorchy Corridor Package</v>
      </c>
      <c r="N31" t="str">
        <f t="shared" si="3"/>
        <v>Routeburn Bridges 1</v>
      </c>
      <c r="O31" t="str">
        <f t="shared" si="4"/>
        <v>Construction</v>
      </c>
      <c r="P31" s="4">
        <f t="shared" si="5"/>
        <v>44781</v>
      </c>
      <c r="Q31" s="4">
        <f t="shared" si="6"/>
        <v>44911</v>
      </c>
      <c r="R31" s="5">
        <f t="shared" si="7"/>
        <v>0</v>
      </c>
      <c r="S31" s="5">
        <f t="shared" si="8"/>
        <v>72000</v>
      </c>
    </row>
    <row r="32" spans="1:19" ht="30" hidden="1" x14ac:dyDescent="0.25">
      <c r="A32" s="8">
        <v>152526</v>
      </c>
      <c r="B32" s="8" t="s">
        <v>48</v>
      </c>
      <c r="C32" s="8" t="s">
        <v>49</v>
      </c>
      <c r="D32" s="8" t="s">
        <v>50</v>
      </c>
      <c r="E32" s="8" t="s">
        <v>51</v>
      </c>
      <c r="F32" s="9">
        <v>1</v>
      </c>
      <c r="G32" s="10">
        <v>677755</v>
      </c>
      <c r="H32" s="10">
        <v>1100000</v>
      </c>
      <c r="I32" s="2">
        <f t="shared" si="0"/>
        <v>6</v>
      </c>
      <c r="J32" s="2">
        <f t="shared" si="9"/>
        <v>2</v>
      </c>
      <c r="K32" s="2">
        <f t="shared" si="2"/>
        <v>9</v>
      </c>
      <c r="L32" t="b" cm="1">
        <f t="array" ref="L32">BoldFont(H32)</f>
        <v>1</v>
      </c>
      <c r="M32" t="str">
        <f t="shared" si="1"/>
        <v>Glenorchy Corridor Package</v>
      </c>
      <c r="N32" t="str">
        <f t="shared" si="3"/>
        <v>Glenorchy Road North Barriers '22</v>
      </c>
      <c r="O32" t="str">
        <f t="shared" si="4"/>
        <v/>
      </c>
      <c r="P32" s="4">
        <f t="shared" si="5"/>
        <v>44743</v>
      </c>
      <c r="Q32" s="4">
        <f t="shared" si="6"/>
        <v>45023</v>
      </c>
      <c r="R32" s="5">
        <f t="shared" si="7"/>
        <v>677755</v>
      </c>
      <c r="S32" s="5">
        <f t="shared" si="8"/>
        <v>1100000</v>
      </c>
    </row>
    <row r="33" spans="1:19" ht="30" x14ac:dyDescent="0.25">
      <c r="A33" s="7"/>
      <c r="B33" s="15" t="s">
        <v>24</v>
      </c>
      <c r="C33" s="11" t="s">
        <v>52</v>
      </c>
      <c r="D33" s="11" t="s">
        <v>50</v>
      </c>
      <c r="E33" s="11" t="s">
        <v>53</v>
      </c>
      <c r="F33" s="12">
        <v>1</v>
      </c>
      <c r="G33" s="14">
        <v>10500</v>
      </c>
      <c r="H33" s="14">
        <v>66000</v>
      </c>
      <c r="I33" s="2">
        <f t="shared" si="0"/>
        <v>9</v>
      </c>
      <c r="J33" s="2">
        <f t="shared" si="9"/>
        <v>2</v>
      </c>
      <c r="K33" s="2">
        <f t="shared" si="2"/>
        <v>9</v>
      </c>
      <c r="L33" t="b" cm="1">
        <f t="array" ref="L33">BoldFont(H33)</f>
        <v>0</v>
      </c>
      <c r="M33" t="str">
        <f t="shared" si="1"/>
        <v>Glenorchy Corridor Package</v>
      </c>
      <c r="N33" t="str">
        <f t="shared" si="3"/>
        <v>Glenorchy Road North Barriers '22</v>
      </c>
      <c r="O33" t="str">
        <f t="shared" si="4"/>
        <v>Detailed Design</v>
      </c>
      <c r="P33" s="4">
        <f t="shared" si="5"/>
        <v>44743</v>
      </c>
      <c r="Q33" s="4">
        <f t="shared" si="6"/>
        <v>44866</v>
      </c>
      <c r="R33" s="5">
        <f t="shared" si="7"/>
        <v>10500</v>
      </c>
      <c r="S33" s="5">
        <f t="shared" si="8"/>
        <v>66000</v>
      </c>
    </row>
    <row r="34" spans="1:19" ht="30" x14ac:dyDescent="0.25">
      <c r="A34" s="7"/>
      <c r="B34" s="15" t="s">
        <v>194</v>
      </c>
      <c r="C34" s="11" t="s">
        <v>54</v>
      </c>
      <c r="D34" s="11" t="s">
        <v>201</v>
      </c>
      <c r="E34" s="11" t="s">
        <v>202</v>
      </c>
      <c r="F34" s="12">
        <v>1</v>
      </c>
      <c r="G34" s="14">
        <v>667255</v>
      </c>
      <c r="H34" s="14">
        <v>1034000</v>
      </c>
      <c r="I34" s="2">
        <f t="shared" si="0"/>
        <v>9</v>
      </c>
      <c r="J34" s="2">
        <f t="shared" si="9"/>
        <v>2</v>
      </c>
      <c r="K34" s="2">
        <f t="shared" si="2"/>
        <v>9</v>
      </c>
      <c r="L34" t="b" cm="1">
        <f t="array" ref="L34">BoldFont(H34)</f>
        <v>0</v>
      </c>
      <c r="M34" t="str">
        <f t="shared" si="1"/>
        <v>Glenorchy Corridor Package</v>
      </c>
      <c r="N34" t="str">
        <f t="shared" si="3"/>
        <v>Glenorchy Road North Barriers '22</v>
      </c>
      <c r="O34" t="str">
        <f t="shared" si="4"/>
        <v>Construction</v>
      </c>
      <c r="P34" s="4">
        <f t="shared" si="5"/>
        <v>44867</v>
      </c>
      <c r="Q34" s="4">
        <f t="shared" si="6"/>
        <v>44950</v>
      </c>
      <c r="R34" s="5">
        <f t="shared" si="7"/>
        <v>667255</v>
      </c>
      <c r="S34" s="5">
        <f t="shared" si="8"/>
        <v>1034000</v>
      </c>
    </row>
    <row r="35" spans="1:19" ht="30" x14ac:dyDescent="0.25">
      <c r="A35" s="7"/>
      <c r="B35" s="11" t="s">
        <v>32</v>
      </c>
      <c r="C35" s="11" t="s">
        <v>54</v>
      </c>
      <c r="D35" s="11" t="s">
        <v>55</v>
      </c>
      <c r="E35" s="11" t="s">
        <v>51</v>
      </c>
      <c r="F35" s="12">
        <v>1</v>
      </c>
      <c r="G35" s="14">
        <v>0</v>
      </c>
      <c r="H35" s="14">
        <v>0</v>
      </c>
      <c r="I35" s="2">
        <f t="shared" si="0"/>
        <v>9</v>
      </c>
      <c r="J35" s="2">
        <f t="shared" si="9"/>
        <v>2</v>
      </c>
      <c r="K35" s="2">
        <f t="shared" si="2"/>
        <v>9</v>
      </c>
      <c r="L35" t="b" cm="1">
        <f t="array" ref="L35">BoldFont(H35)</f>
        <v>0</v>
      </c>
      <c r="M35" t="str">
        <f t="shared" si="1"/>
        <v>Glenorchy Corridor Package</v>
      </c>
      <c r="N35" t="str">
        <f t="shared" si="3"/>
        <v>Glenorchy Road North Barriers '22</v>
      </c>
      <c r="O35" t="str">
        <f t="shared" si="4"/>
        <v>MSQA</v>
      </c>
      <c r="P35" s="4">
        <f t="shared" si="5"/>
        <v>44942</v>
      </c>
      <c r="Q35" s="4">
        <f t="shared" si="6"/>
        <v>45023</v>
      </c>
      <c r="R35" s="5">
        <f t="shared" si="7"/>
        <v>0</v>
      </c>
      <c r="S35" s="5">
        <f t="shared" si="8"/>
        <v>0</v>
      </c>
    </row>
    <row r="36" spans="1:19" ht="30" hidden="1" x14ac:dyDescent="0.25">
      <c r="A36" s="8">
        <v>152526</v>
      </c>
      <c r="B36" s="8" t="s">
        <v>56</v>
      </c>
      <c r="C36" s="8" t="s">
        <v>57</v>
      </c>
      <c r="D36" s="8" t="s">
        <v>58</v>
      </c>
      <c r="E36" s="8" t="s">
        <v>59</v>
      </c>
      <c r="F36" s="9">
        <v>0.86</v>
      </c>
      <c r="G36" s="10">
        <v>790000</v>
      </c>
      <c r="H36" s="10">
        <v>500000</v>
      </c>
      <c r="I36" s="2">
        <f t="shared" si="0"/>
        <v>6</v>
      </c>
      <c r="J36" s="2">
        <f t="shared" si="9"/>
        <v>2</v>
      </c>
      <c r="K36" s="2">
        <f t="shared" si="2"/>
        <v>9</v>
      </c>
      <c r="L36" t="b" cm="1">
        <f t="array" ref="L36">BoldFont(H36)</f>
        <v>1</v>
      </c>
      <c r="M36" t="str">
        <f t="shared" si="1"/>
        <v>Glenorchy Corridor Package</v>
      </c>
      <c r="N36" t="str">
        <f t="shared" si="3"/>
        <v>Glenorchy Road North Barriers '23</v>
      </c>
      <c r="O36" t="str">
        <f t="shared" si="4"/>
        <v/>
      </c>
      <c r="P36" s="4">
        <f t="shared" si="5"/>
        <v>45108</v>
      </c>
      <c r="Q36" s="4">
        <f t="shared" si="6"/>
        <v>45260</v>
      </c>
      <c r="R36" s="5">
        <f t="shared" si="7"/>
        <v>790000</v>
      </c>
      <c r="S36" s="5">
        <f t="shared" si="8"/>
        <v>500000</v>
      </c>
    </row>
    <row r="37" spans="1:19" ht="30" x14ac:dyDescent="0.25">
      <c r="A37" s="7"/>
      <c r="B37" s="15" t="s">
        <v>24</v>
      </c>
      <c r="C37" s="11" t="s">
        <v>60</v>
      </c>
      <c r="D37" s="11" t="s">
        <v>58</v>
      </c>
      <c r="E37" s="11" t="s">
        <v>61</v>
      </c>
      <c r="F37" s="12">
        <v>1</v>
      </c>
      <c r="G37" s="14">
        <v>10000</v>
      </c>
      <c r="H37" s="14">
        <v>30000</v>
      </c>
      <c r="I37" s="2">
        <f t="shared" si="0"/>
        <v>9</v>
      </c>
      <c r="J37" s="2">
        <f t="shared" si="9"/>
        <v>2</v>
      </c>
      <c r="K37" s="2">
        <f t="shared" si="2"/>
        <v>9</v>
      </c>
      <c r="L37" t="b" cm="1">
        <f t="array" ref="L37">BoldFont(H37)</f>
        <v>0</v>
      </c>
      <c r="M37" t="str">
        <f t="shared" si="1"/>
        <v>Glenorchy Corridor Package</v>
      </c>
      <c r="N37" t="str">
        <f t="shared" si="3"/>
        <v>Glenorchy Road North Barriers '23</v>
      </c>
      <c r="O37" t="str">
        <f t="shared" si="4"/>
        <v>Detailed Design</v>
      </c>
      <c r="P37" s="4">
        <f t="shared" si="5"/>
        <v>45108</v>
      </c>
      <c r="Q37" s="4">
        <f t="shared" si="6"/>
        <v>45176</v>
      </c>
      <c r="R37" s="5">
        <f t="shared" si="7"/>
        <v>10000</v>
      </c>
      <c r="S37" s="5">
        <f t="shared" si="8"/>
        <v>30000</v>
      </c>
    </row>
    <row r="38" spans="1:19" ht="30" x14ac:dyDescent="0.25">
      <c r="A38" s="7"/>
      <c r="B38" s="11" t="s">
        <v>32</v>
      </c>
      <c r="C38" s="11" t="s">
        <v>54</v>
      </c>
      <c r="D38" s="11" t="s">
        <v>62</v>
      </c>
      <c r="E38" s="11" t="s">
        <v>59</v>
      </c>
      <c r="F38" s="12">
        <v>0.8</v>
      </c>
      <c r="G38" s="14">
        <v>30000</v>
      </c>
      <c r="H38" s="14">
        <v>0</v>
      </c>
      <c r="I38" s="2">
        <f t="shared" si="0"/>
        <v>9</v>
      </c>
      <c r="J38" s="2">
        <f t="shared" si="9"/>
        <v>2</v>
      </c>
      <c r="K38" s="2">
        <f t="shared" si="2"/>
        <v>9</v>
      </c>
      <c r="L38" t="b" cm="1">
        <f t="array" ref="L38">BoldFont(H38)</f>
        <v>0</v>
      </c>
      <c r="M38" t="str">
        <f t="shared" si="1"/>
        <v>Glenorchy Corridor Package</v>
      </c>
      <c r="N38" t="str">
        <f t="shared" si="3"/>
        <v>Glenorchy Road North Barriers '23</v>
      </c>
      <c r="O38" t="str">
        <f t="shared" si="4"/>
        <v>MSQA</v>
      </c>
      <c r="P38" s="4">
        <f t="shared" si="5"/>
        <v>45177</v>
      </c>
      <c r="Q38" s="4">
        <f t="shared" si="6"/>
        <v>45260</v>
      </c>
      <c r="R38" s="5">
        <f t="shared" si="7"/>
        <v>30000</v>
      </c>
      <c r="S38" s="5">
        <f t="shared" si="8"/>
        <v>0</v>
      </c>
    </row>
    <row r="39" spans="1:19" ht="30" x14ac:dyDescent="0.25">
      <c r="A39" s="7"/>
      <c r="B39" s="15" t="s">
        <v>194</v>
      </c>
      <c r="C39" s="11" t="s">
        <v>54</v>
      </c>
      <c r="D39" s="11" t="s">
        <v>62</v>
      </c>
      <c r="E39" s="11" t="s">
        <v>59</v>
      </c>
      <c r="F39" s="12">
        <v>0.8</v>
      </c>
      <c r="G39" s="14">
        <v>750000</v>
      </c>
      <c r="H39" s="14">
        <v>470000</v>
      </c>
      <c r="I39" s="2">
        <f t="shared" si="0"/>
        <v>9</v>
      </c>
      <c r="J39" s="2">
        <f t="shared" si="9"/>
        <v>2</v>
      </c>
      <c r="K39" s="2">
        <f t="shared" si="2"/>
        <v>9</v>
      </c>
      <c r="L39" t="b" cm="1">
        <f t="array" ref="L39">BoldFont(H39)</f>
        <v>0</v>
      </c>
      <c r="M39" t="str">
        <f t="shared" si="1"/>
        <v>Glenorchy Corridor Package</v>
      </c>
      <c r="N39" t="str">
        <f t="shared" si="3"/>
        <v>Glenorchy Road North Barriers '23</v>
      </c>
      <c r="O39" t="str">
        <f t="shared" si="4"/>
        <v>Construction</v>
      </c>
      <c r="P39" s="4">
        <f t="shared" si="5"/>
        <v>45177</v>
      </c>
      <c r="Q39" s="4">
        <f t="shared" si="6"/>
        <v>45260</v>
      </c>
      <c r="R39" s="5">
        <f t="shared" si="7"/>
        <v>750000</v>
      </c>
      <c r="S39" s="5">
        <f t="shared" si="8"/>
        <v>470000</v>
      </c>
    </row>
    <row r="40" spans="1:19" ht="30" hidden="1" x14ac:dyDescent="0.25">
      <c r="A40" s="8">
        <v>152526</v>
      </c>
      <c r="B40" s="8" t="s">
        <v>63</v>
      </c>
      <c r="C40" s="8" t="s">
        <v>64</v>
      </c>
      <c r="D40" s="8" t="s">
        <v>65</v>
      </c>
      <c r="E40" s="8" t="s">
        <v>66</v>
      </c>
      <c r="F40" s="9">
        <v>1</v>
      </c>
      <c r="G40" s="10">
        <v>0</v>
      </c>
      <c r="H40" s="10">
        <v>250000</v>
      </c>
      <c r="I40" s="2">
        <f t="shared" si="0"/>
        <v>6</v>
      </c>
      <c r="J40" s="2">
        <f t="shared" si="9"/>
        <v>2</v>
      </c>
      <c r="K40" s="2">
        <f t="shared" si="2"/>
        <v>9</v>
      </c>
      <c r="L40" t="b" cm="1">
        <f t="array" ref="L40">BoldFont(H40)</f>
        <v>1</v>
      </c>
      <c r="M40" t="str">
        <f t="shared" si="1"/>
        <v>Glenorchy Corridor Package</v>
      </c>
      <c r="N40" t="str">
        <f t="shared" si="3"/>
        <v>Glenorchy Various MI '23</v>
      </c>
      <c r="O40" t="str">
        <f t="shared" si="4"/>
        <v/>
      </c>
      <c r="P40" s="4">
        <f t="shared" si="5"/>
        <v>45110</v>
      </c>
      <c r="Q40" s="4">
        <f t="shared" si="6"/>
        <v>45219</v>
      </c>
      <c r="R40" s="5">
        <f t="shared" si="7"/>
        <v>0</v>
      </c>
      <c r="S40" s="5">
        <f t="shared" si="8"/>
        <v>250000</v>
      </c>
    </row>
    <row r="41" spans="1:19" ht="30" x14ac:dyDescent="0.25">
      <c r="A41" s="7"/>
      <c r="B41" s="15" t="s">
        <v>24</v>
      </c>
      <c r="C41" s="11" t="s">
        <v>37</v>
      </c>
      <c r="D41" s="11" t="s">
        <v>65</v>
      </c>
      <c r="E41" s="11" t="s">
        <v>67</v>
      </c>
      <c r="F41" s="12">
        <v>1</v>
      </c>
      <c r="G41" s="14">
        <v>0</v>
      </c>
      <c r="H41" s="14">
        <v>15000</v>
      </c>
      <c r="I41" s="2">
        <f t="shared" si="0"/>
        <v>9</v>
      </c>
      <c r="J41" s="2">
        <f t="shared" si="9"/>
        <v>2</v>
      </c>
      <c r="K41" s="2">
        <f t="shared" si="2"/>
        <v>9</v>
      </c>
      <c r="L41" t="b" cm="1">
        <f t="array" ref="L41">BoldFont(H41)</f>
        <v>0</v>
      </c>
      <c r="M41" t="str">
        <f t="shared" si="1"/>
        <v>Glenorchy Corridor Package</v>
      </c>
      <c r="N41" t="str">
        <f t="shared" si="3"/>
        <v>Glenorchy Various MI '23</v>
      </c>
      <c r="O41" t="str">
        <f t="shared" si="4"/>
        <v>Detailed Design</v>
      </c>
      <c r="P41" s="4">
        <f t="shared" si="5"/>
        <v>45110</v>
      </c>
      <c r="Q41" s="4">
        <f t="shared" si="6"/>
        <v>45149</v>
      </c>
      <c r="R41" s="5">
        <f t="shared" si="7"/>
        <v>0</v>
      </c>
      <c r="S41" s="5">
        <f t="shared" si="8"/>
        <v>15000</v>
      </c>
    </row>
    <row r="42" spans="1:19" ht="30" x14ac:dyDescent="0.25">
      <c r="A42" s="7"/>
      <c r="B42" s="11" t="s">
        <v>32</v>
      </c>
      <c r="C42" s="11" t="s">
        <v>37</v>
      </c>
      <c r="D42" s="11" t="s">
        <v>68</v>
      </c>
      <c r="E42" s="11" t="s">
        <v>66</v>
      </c>
      <c r="F42" s="12">
        <v>1</v>
      </c>
      <c r="G42" s="14">
        <v>0</v>
      </c>
      <c r="H42" s="14">
        <v>0</v>
      </c>
      <c r="I42" s="2">
        <f t="shared" si="0"/>
        <v>9</v>
      </c>
      <c r="J42" s="2">
        <f t="shared" si="9"/>
        <v>2</v>
      </c>
      <c r="K42" s="2">
        <f t="shared" si="2"/>
        <v>9</v>
      </c>
      <c r="L42" t="b" cm="1">
        <f t="array" ref="L42">BoldFont(H42)</f>
        <v>0</v>
      </c>
      <c r="M42" t="str">
        <f t="shared" si="1"/>
        <v>Glenorchy Corridor Package</v>
      </c>
      <c r="N42" t="str">
        <f t="shared" si="3"/>
        <v>Glenorchy Various MI '23</v>
      </c>
      <c r="O42" t="str">
        <f t="shared" si="4"/>
        <v>MSQA</v>
      </c>
      <c r="P42" s="4">
        <f t="shared" si="5"/>
        <v>45180</v>
      </c>
      <c r="Q42" s="4">
        <f t="shared" si="6"/>
        <v>45219</v>
      </c>
      <c r="R42" s="5">
        <f t="shared" si="7"/>
        <v>0</v>
      </c>
      <c r="S42" s="5">
        <f t="shared" si="8"/>
        <v>0</v>
      </c>
    </row>
    <row r="43" spans="1:19" ht="30" x14ac:dyDescent="0.25">
      <c r="A43" s="7"/>
      <c r="B43" s="15" t="s">
        <v>194</v>
      </c>
      <c r="C43" s="11" t="s">
        <v>37</v>
      </c>
      <c r="D43" s="11" t="s">
        <v>68</v>
      </c>
      <c r="E43" s="11" t="s">
        <v>66</v>
      </c>
      <c r="F43" s="12">
        <v>1</v>
      </c>
      <c r="G43" s="14">
        <v>0</v>
      </c>
      <c r="H43" s="14">
        <v>235000</v>
      </c>
      <c r="I43" s="2">
        <f t="shared" si="0"/>
        <v>9</v>
      </c>
      <c r="J43" s="2">
        <f t="shared" si="9"/>
        <v>2</v>
      </c>
      <c r="K43" s="2">
        <f t="shared" si="2"/>
        <v>9</v>
      </c>
      <c r="L43" t="b" cm="1">
        <f t="array" ref="L43">BoldFont(H43)</f>
        <v>0</v>
      </c>
      <c r="M43" t="str">
        <f t="shared" si="1"/>
        <v>Glenorchy Corridor Package</v>
      </c>
      <c r="N43" t="str">
        <f t="shared" si="3"/>
        <v>Glenorchy Various MI '23</v>
      </c>
      <c r="O43" t="str">
        <f t="shared" si="4"/>
        <v>Construction</v>
      </c>
      <c r="P43" s="4">
        <f t="shared" si="5"/>
        <v>45180</v>
      </c>
      <c r="Q43" s="4">
        <f t="shared" si="6"/>
        <v>45219</v>
      </c>
      <c r="R43" s="5">
        <f t="shared" si="7"/>
        <v>0</v>
      </c>
      <c r="S43" s="5">
        <f t="shared" si="8"/>
        <v>235000</v>
      </c>
    </row>
    <row r="44" spans="1:19" ht="30" hidden="1" x14ac:dyDescent="0.25">
      <c r="A44" s="8">
        <v>152541</v>
      </c>
      <c r="B44" s="8" t="s">
        <v>69</v>
      </c>
      <c r="C44" s="8" t="s">
        <v>70</v>
      </c>
      <c r="D44" s="8" t="s">
        <v>65</v>
      </c>
      <c r="E44" s="8" t="s">
        <v>17</v>
      </c>
      <c r="F44" s="9">
        <v>1</v>
      </c>
      <c r="G44" s="10">
        <v>0</v>
      </c>
      <c r="H44" s="10">
        <v>150000</v>
      </c>
      <c r="I44" s="2">
        <f t="shared" si="0"/>
        <v>6</v>
      </c>
      <c r="J44" s="2">
        <f t="shared" si="9"/>
        <v>2</v>
      </c>
      <c r="K44" s="2">
        <f t="shared" si="2"/>
        <v>9</v>
      </c>
      <c r="L44" t="b" cm="1">
        <f t="array" ref="L44">BoldFont(H44)</f>
        <v>1</v>
      </c>
      <c r="M44" t="str">
        <f t="shared" si="1"/>
        <v>Glenorchy Corridor Package</v>
      </c>
      <c r="N44" t="str">
        <f t="shared" si="3"/>
        <v>Paradise Barriers and Signage '23</v>
      </c>
      <c r="O44" t="str">
        <f t="shared" si="4"/>
        <v/>
      </c>
      <c r="P44" s="4">
        <f t="shared" si="5"/>
        <v>45110</v>
      </c>
      <c r="Q44" s="4">
        <f t="shared" si="6"/>
        <v>45261</v>
      </c>
      <c r="R44" s="5">
        <f t="shared" si="7"/>
        <v>0</v>
      </c>
      <c r="S44" s="5">
        <f t="shared" si="8"/>
        <v>150000</v>
      </c>
    </row>
    <row r="45" spans="1:19" ht="30" x14ac:dyDescent="0.25">
      <c r="A45" s="7"/>
      <c r="B45" s="15" t="s">
        <v>24</v>
      </c>
      <c r="C45" s="11" t="s">
        <v>60</v>
      </c>
      <c r="D45" s="11" t="s">
        <v>65</v>
      </c>
      <c r="E45" s="11" t="s">
        <v>62</v>
      </c>
      <c r="F45" s="12">
        <v>1</v>
      </c>
      <c r="G45" s="14">
        <v>0</v>
      </c>
      <c r="H45" s="14">
        <v>9000</v>
      </c>
      <c r="I45" s="2">
        <f t="shared" si="0"/>
        <v>9</v>
      </c>
      <c r="J45" s="2">
        <f t="shared" si="9"/>
        <v>2</v>
      </c>
      <c r="K45" s="2">
        <f t="shared" si="2"/>
        <v>9</v>
      </c>
      <c r="L45" t="b" cm="1">
        <f t="array" ref="L45">BoldFont(H45)</f>
        <v>0</v>
      </c>
      <c r="M45" t="str">
        <f t="shared" si="1"/>
        <v>Glenorchy Corridor Package</v>
      </c>
      <c r="N45" t="str">
        <f t="shared" si="3"/>
        <v>Paradise Barriers and Signage '23</v>
      </c>
      <c r="O45" t="str">
        <f t="shared" si="4"/>
        <v>Detailed Design</v>
      </c>
      <c r="P45" s="4">
        <f t="shared" si="5"/>
        <v>45110</v>
      </c>
      <c r="Q45" s="4">
        <f t="shared" si="6"/>
        <v>45177</v>
      </c>
      <c r="R45" s="5">
        <f t="shared" si="7"/>
        <v>0</v>
      </c>
      <c r="S45" s="5">
        <f t="shared" si="8"/>
        <v>9000</v>
      </c>
    </row>
    <row r="46" spans="1:19" ht="30" x14ac:dyDescent="0.25">
      <c r="A46" s="7"/>
      <c r="B46" s="11" t="s">
        <v>32</v>
      </c>
      <c r="C46" s="11" t="s">
        <v>54</v>
      </c>
      <c r="D46" s="11" t="s">
        <v>68</v>
      </c>
      <c r="E46" s="11" t="s">
        <v>17</v>
      </c>
      <c r="F46" s="12">
        <v>1</v>
      </c>
      <c r="G46" s="14">
        <v>0</v>
      </c>
      <c r="H46" s="14">
        <v>0</v>
      </c>
      <c r="I46" s="2">
        <f t="shared" si="0"/>
        <v>9</v>
      </c>
      <c r="J46" s="2">
        <f t="shared" si="9"/>
        <v>2</v>
      </c>
      <c r="K46" s="2">
        <f t="shared" si="2"/>
        <v>9</v>
      </c>
      <c r="L46" t="b" cm="1">
        <f t="array" ref="L46">BoldFont(H46)</f>
        <v>0</v>
      </c>
      <c r="M46" t="str">
        <f t="shared" si="1"/>
        <v>Glenorchy Corridor Package</v>
      </c>
      <c r="N46" t="str">
        <f t="shared" si="3"/>
        <v>Paradise Barriers and Signage '23</v>
      </c>
      <c r="O46" t="str">
        <f t="shared" si="4"/>
        <v>MSQA</v>
      </c>
      <c r="P46" s="4">
        <f t="shared" si="5"/>
        <v>45180</v>
      </c>
      <c r="Q46" s="4">
        <f t="shared" si="6"/>
        <v>45261</v>
      </c>
      <c r="R46" s="5">
        <f t="shared" si="7"/>
        <v>0</v>
      </c>
      <c r="S46" s="5">
        <f t="shared" si="8"/>
        <v>0</v>
      </c>
    </row>
    <row r="47" spans="1:19" ht="30" x14ac:dyDescent="0.25">
      <c r="A47" s="7"/>
      <c r="B47" s="15" t="s">
        <v>194</v>
      </c>
      <c r="C47" s="11" t="s">
        <v>54</v>
      </c>
      <c r="D47" s="11" t="s">
        <v>68</v>
      </c>
      <c r="E47" s="11" t="s">
        <v>17</v>
      </c>
      <c r="F47" s="12">
        <v>1</v>
      </c>
      <c r="G47" s="14">
        <v>0</v>
      </c>
      <c r="H47" s="14">
        <v>141000</v>
      </c>
      <c r="I47" s="2">
        <f t="shared" si="0"/>
        <v>9</v>
      </c>
      <c r="J47" s="2">
        <f t="shared" si="9"/>
        <v>2</v>
      </c>
      <c r="K47" s="2">
        <f t="shared" si="2"/>
        <v>9</v>
      </c>
      <c r="L47" t="b" cm="1">
        <f t="array" ref="L47">BoldFont(H47)</f>
        <v>0</v>
      </c>
      <c r="M47" t="str">
        <f t="shared" si="1"/>
        <v>Glenorchy Corridor Package</v>
      </c>
      <c r="N47" t="str">
        <f t="shared" si="3"/>
        <v>Paradise Barriers and Signage '23</v>
      </c>
      <c r="O47" t="str">
        <f t="shared" si="4"/>
        <v>Construction</v>
      </c>
      <c r="P47" s="4">
        <f t="shared" si="5"/>
        <v>45180</v>
      </c>
      <c r="Q47" s="4">
        <f t="shared" si="6"/>
        <v>45261</v>
      </c>
      <c r="R47" s="5">
        <f t="shared" si="7"/>
        <v>0</v>
      </c>
      <c r="S47" s="5">
        <f t="shared" si="8"/>
        <v>141000</v>
      </c>
    </row>
    <row r="48" spans="1:19" ht="30" hidden="1" x14ac:dyDescent="0.25">
      <c r="A48" s="8">
        <v>152532</v>
      </c>
      <c r="B48" s="8" t="s">
        <v>71</v>
      </c>
      <c r="C48" s="8" t="s">
        <v>225</v>
      </c>
      <c r="D48" s="8" t="s">
        <v>72</v>
      </c>
      <c r="E48" s="8" t="s">
        <v>208</v>
      </c>
      <c r="F48" s="9">
        <v>1</v>
      </c>
      <c r="G48" s="10">
        <v>521206</v>
      </c>
      <c r="H48" s="10">
        <v>378975.74</v>
      </c>
      <c r="I48" s="2">
        <f t="shared" si="0"/>
        <v>3</v>
      </c>
      <c r="J48" s="2">
        <f t="shared" si="9"/>
        <v>3</v>
      </c>
      <c r="K48" s="2">
        <f t="shared" si="2"/>
        <v>6</v>
      </c>
      <c r="L48" t="b" cm="1">
        <f t="array" ref="L48">BoldFont(H48)</f>
        <v>1</v>
      </c>
      <c r="M48" t="str">
        <f t="shared" si="1"/>
        <v>Golf Course Ballantyne IS SNP Stage 1</v>
      </c>
      <c r="N48" t="str">
        <f t="shared" si="3"/>
        <v>Paradise Barriers and Signage '23</v>
      </c>
      <c r="O48" t="str">
        <f t="shared" si="4"/>
        <v/>
      </c>
      <c r="P48" s="4">
        <f t="shared" si="5"/>
        <v>44531</v>
      </c>
      <c r="Q48" s="4">
        <f t="shared" si="6"/>
        <v>45079</v>
      </c>
      <c r="R48" s="5">
        <f t="shared" si="7"/>
        <v>521206</v>
      </c>
      <c r="S48" s="5">
        <f t="shared" si="8"/>
        <v>378975.74</v>
      </c>
    </row>
    <row r="49" spans="1:19" ht="30" x14ac:dyDescent="0.25">
      <c r="A49" s="7"/>
      <c r="B49" s="15" t="s">
        <v>73</v>
      </c>
      <c r="C49" s="11" t="s">
        <v>74</v>
      </c>
      <c r="D49" s="11" t="s">
        <v>72</v>
      </c>
      <c r="E49" s="11" t="s">
        <v>75</v>
      </c>
      <c r="F49" s="12">
        <v>1</v>
      </c>
      <c r="G49" s="14">
        <v>23350</v>
      </c>
      <c r="H49" s="14">
        <v>21024.26</v>
      </c>
      <c r="I49" s="2">
        <f t="shared" si="0"/>
        <v>6</v>
      </c>
      <c r="J49" s="2">
        <f t="shared" si="9"/>
        <v>3</v>
      </c>
      <c r="K49" s="2">
        <f t="shared" si="2"/>
        <v>6</v>
      </c>
      <c r="L49" t="b" cm="1">
        <f t="array" ref="L49">BoldFont(H49)</f>
        <v>0</v>
      </c>
      <c r="M49" t="str">
        <f t="shared" si="1"/>
        <v>Golf Course Ballantyne IS SNP Stage 1</v>
      </c>
      <c r="N49" t="str">
        <f t="shared" si="3"/>
        <v>Golf Course Ballantyne IS SNP Stage 1</v>
      </c>
      <c r="O49" t="str">
        <f t="shared" si="4"/>
        <v>Detailed Design</v>
      </c>
      <c r="P49" s="4">
        <f t="shared" si="5"/>
        <v>44531</v>
      </c>
      <c r="Q49" s="4">
        <f t="shared" si="6"/>
        <v>44659</v>
      </c>
      <c r="R49" s="5">
        <f t="shared" si="7"/>
        <v>23350</v>
      </c>
      <c r="S49" s="5">
        <f t="shared" si="8"/>
        <v>21024.26</v>
      </c>
    </row>
    <row r="50" spans="1:19" ht="30" x14ac:dyDescent="0.25">
      <c r="A50" s="7"/>
      <c r="B50" s="15" t="s">
        <v>76</v>
      </c>
      <c r="C50" s="11" t="s">
        <v>77</v>
      </c>
      <c r="D50" s="11" t="s">
        <v>78</v>
      </c>
      <c r="E50" s="11" t="s">
        <v>79</v>
      </c>
      <c r="F50" s="12">
        <v>1</v>
      </c>
      <c r="G50" s="14">
        <v>0</v>
      </c>
      <c r="H50" s="14">
        <v>0</v>
      </c>
      <c r="I50" s="2">
        <f t="shared" si="0"/>
        <v>6</v>
      </c>
      <c r="J50" s="2">
        <f t="shared" si="9"/>
        <v>3</v>
      </c>
      <c r="K50" s="2">
        <f t="shared" si="2"/>
        <v>6</v>
      </c>
      <c r="L50" t="b" cm="1">
        <f t="array" ref="L50">BoldFont(H50)</f>
        <v>0</v>
      </c>
      <c r="M50" t="str">
        <f t="shared" si="1"/>
        <v>Golf Course Ballantyne IS SNP Stage 1</v>
      </c>
      <c r="N50" t="str">
        <f t="shared" si="3"/>
        <v>Golf Course Ballantyne IS SNP Stage 1</v>
      </c>
      <c r="O50" t="str">
        <f t="shared" si="4"/>
        <v>Tender</v>
      </c>
      <c r="P50" s="4">
        <f t="shared" si="5"/>
        <v>44795</v>
      </c>
      <c r="Q50" s="4">
        <f t="shared" si="6"/>
        <v>44883</v>
      </c>
      <c r="R50" s="5">
        <f t="shared" si="7"/>
        <v>0</v>
      </c>
      <c r="S50" s="5">
        <f t="shared" si="8"/>
        <v>0</v>
      </c>
    </row>
    <row r="51" spans="1:19" ht="30" x14ac:dyDescent="0.25">
      <c r="A51" s="7"/>
      <c r="B51" s="11" t="s">
        <v>80</v>
      </c>
      <c r="C51" s="11" t="s">
        <v>226</v>
      </c>
      <c r="D51" s="11" t="s">
        <v>82</v>
      </c>
      <c r="E51" s="11" t="s">
        <v>208</v>
      </c>
      <c r="F51" s="12">
        <v>1</v>
      </c>
      <c r="G51" s="14">
        <v>36675</v>
      </c>
      <c r="H51" s="14">
        <v>0</v>
      </c>
      <c r="I51" s="2">
        <f t="shared" si="0"/>
        <v>6</v>
      </c>
      <c r="J51" s="2">
        <f t="shared" si="9"/>
        <v>3</v>
      </c>
      <c r="K51" s="2">
        <f t="shared" si="2"/>
        <v>6</v>
      </c>
      <c r="L51" t="b" cm="1">
        <f t="array" ref="L51">BoldFont(H51)</f>
        <v>0</v>
      </c>
      <c r="M51" t="str">
        <f t="shared" si="1"/>
        <v>Golf Course Ballantyne IS SNP Stage 1</v>
      </c>
      <c r="N51" t="str">
        <f t="shared" si="3"/>
        <v>Golf Course Ballantyne IS SNP Stage 1</v>
      </c>
      <c r="O51" t="str">
        <f t="shared" si="4"/>
        <v>MSQA</v>
      </c>
      <c r="P51" s="4">
        <f t="shared" si="5"/>
        <v>44900</v>
      </c>
      <c r="Q51" s="4">
        <f t="shared" si="6"/>
        <v>45079</v>
      </c>
      <c r="R51" s="5">
        <f t="shared" si="7"/>
        <v>36675</v>
      </c>
      <c r="S51" s="5">
        <f t="shared" si="8"/>
        <v>0</v>
      </c>
    </row>
    <row r="52" spans="1:19" ht="30" x14ac:dyDescent="0.25">
      <c r="A52" s="7"/>
      <c r="B52" s="15" t="s">
        <v>83</v>
      </c>
      <c r="C52" s="11" t="s">
        <v>226</v>
      </c>
      <c r="D52" s="11" t="s">
        <v>82</v>
      </c>
      <c r="E52" s="11" t="s">
        <v>208</v>
      </c>
      <c r="F52" s="12">
        <v>1</v>
      </c>
      <c r="G52" s="14">
        <v>461181</v>
      </c>
      <c r="H52" s="14">
        <v>357951.48</v>
      </c>
      <c r="I52" s="2">
        <f t="shared" si="0"/>
        <v>6</v>
      </c>
      <c r="J52" s="2">
        <f t="shared" si="9"/>
        <v>3</v>
      </c>
      <c r="K52" s="2">
        <f t="shared" si="2"/>
        <v>6</v>
      </c>
      <c r="L52" t="b" cm="1">
        <f t="array" ref="L52">BoldFont(H52)</f>
        <v>0</v>
      </c>
      <c r="M52" t="str">
        <f t="shared" si="1"/>
        <v>Golf Course Ballantyne IS SNP Stage 1</v>
      </c>
      <c r="N52" t="str">
        <f t="shared" si="3"/>
        <v>Golf Course Ballantyne IS SNP Stage 1</v>
      </c>
      <c r="O52" t="str">
        <f t="shared" si="4"/>
        <v>Construction</v>
      </c>
      <c r="P52" s="4">
        <f t="shared" si="5"/>
        <v>44900</v>
      </c>
      <c r="Q52" s="4">
        <f t="shared" si="6"/>
        <v>45079</v>
      </c>
      <c r="R52" s="5">
        <f t="shared" si="7"/>
        <v>461181</v>
      </c>
      <c r="S52" s="5">
        <f t="shared" si="8"/>
        <v>357951.48</v>
      </c>
    </row>
    <row r="53" spans="1:19" ht="30" hidden="1" x14ac:dyDescent="0.25">
      <c r="A53" s="7"/>
      <c r="B53" s="8" t="s">
        <v>84</v>
      </c>
      <c r="C53" s="8" t="s">
        <v>234</v>
      </c>
      <c r="D53" s="8" t="s">
        <v>85</v>
      </c>
      <c r="E53" s="8" t="s">
        <v>233</v>
      </c>
      <c r="F53" s="9">
        <v>0.66</v>
      </c>
      <c r="G53" s="10">
        <v>5483347.5</v>
      </c>
      <c r="H53" s="10">
        <v>5000000</v>
      </c>
      <c r="I53" s="2">
        <f t="shared" si="0"/>
        <v>3</v>
      </c>
      <c r="J53" s="2">
        <f t="shared" si="9"/>
        <v>4</v>
      </c>
      <c r="K53" s="2">
        <f t="shared" si="2"/>
        <v>9</v>
      </c>
      <c r="L53" t="b" cm="1">
        <f t="array" ref="L53">BoldFont(H53)</f>
        <v>1</v>
      </c>
      <c r="M53" t="str">
        <f t="shared" si="1"/>
        <v>Schools To Pool</v>
      </c>
      <c r="N53" t="str">
        <f t="shared" si="3"/>
        <v>Golf Course Ballantyne IS SNP Stage 1</v>
      </c>
      <c r="O53" t="str">
        <f t="shared" si="4"/>
        <v/>
      </c>
      <c r="P53" s="4">
        <f t="shared" si="5"/>
        <v>44564</v>
      </c>
      <c r="Q53" s="4">
        <f t="shared" si="6"/>
        <v>45464</v>
      </c>
      <c r="R53" s="5">
        <f t="shared" si="7"/>
        <v>5483347.5</v>
      </c>
      <c r="S53" s="5">
        <f t="shared" si="8"/>
        <v>5000000</v>
      </c>
    </row>
    <row r="54" spans="1:19" ht="30" hidden="1" x14ac:dyDescent="0.25">
      <c r="A54" s="7"/>
      <c r="B54" s="8" t="s">
        <v>86</v>
      </c>
      <c r="C54" s="8" t="s">
        <v>227</v>
      </c>
      <c r="D54" s="8" t="s">
        <v>85</v>
      </c>
      <c r="E54" s="8" t="s">
        <v>208</v>
      </c>
      <c r="F54" s="9">
        <v>1</v>
      </c>
      <c r="G54" s="10">
        <v>723448</v>
      </c>
      <c r="H54" s="10">
        <v>750000</v>
      </c>
      <c r="I54" s="2">
        <f t="shared" si="0"/>
        <v>6</v>
      </c>
      <c r="J54" s="2">
        <f t="shared" si="9"/>
        <v>4</v>
      </c>
      <c r="K54" s="2">
        <f t="shared" si="2"/>
        <v>9</v>
      </c>
      <c r="L54" t="b" cm="1">
        <f t="array" ref="L54">BoldFont(H54)</f>
        <v>1</v>
      </c>
      <c r="M54" t="str">
        <f t="shared" si="1"/>
        <v>Schools To Pool</v>
      </c>
      <c r="N54" t="str">
        <f t="shared" si="3"/>
        <v>Stage 1 - Aubrey and Kelly's Flat</v>
      </c>
      <c r="O54" t="str">
        <f t="shared" si="4"/>
        <v/>
      </c>
      <c r="P54" s="4">
        <f t="shared" si="5"/>
        <v>44564</v>
      </c>
      <c r="Q54" s="4">
        <f t="shared" si="6"/>
        <v>45079</v>
      </c>
      <c r="R54" s="5">
        <f t="shared" si="7"/>
        <v>723448</v>
      </c>
      <c r="S54" s="5">
        <f t="shared" si="8"/>
        <v>750000</v>
      </c>
    </row>
    <row r="55" spans="1:19" ht="45" x14ac:dyDescent="0.25">
      <c r="A55" s="7"/>
      <c r="B55" s="15" t="s">
        <v>21</v>
      </c>
      <c r="C55" s="11" t="s">
        <v>42</v>
      </c>
      <c r="D55" s="11" t="s">
        <v>85</v>
      </c>
      <c r="E55" s="11" t="s">
        <v>87</v>
      </c>
      <c r="F55" s="12">
        <v>1</v>
      </c>
      <c r="G55" s="14">
        <v>9700</v>
      </c>
      <c r="H55" s="14">
        <v>30000</v>
      </c>
      <c r="I55" s="2">
        <f t="shared" si="0"/>
        <v>9</v>
      </c>
      <c r="J55" s="2">
        <f t="shared" si="9"/>
        <v>4</v>
      </c>
      <c r="K55" s="2">
        <f t="shared" si="2"/>
        <v>9</v>
      </c>
      <c r="L55" t="b" cm="1">
        <f t="array" ref="L55">BoldFont(H55)</f>
        <v>0</v>
      </c>
      <c r="M55" t="str">
        <f t="shared" si="1"/>
        <v>Schools To Pool</v>
      </c>
      <c r="N55" t="str">
        <f t="shared" si="3"/>
        <v>Stage 1 - Aubrey and Kelly's Flat</v>
      </c>
      <c r="O55" t="str">
        <f t="shared" si="4"/>
        <v>Concept Design including investigations and consultations where applicable</v>
      </c>
      <c r="P55" s="4">
        <f t="shared" si="5"/>
        <v>44564</v>
      </c>
      <c r="Q55" s="4">
        <f t="shared" si="6"/>
        <v>44589</v>
      </c>
      <c r="R55" s="5">
        <f t="shared" si="7"/>
        <v>9700</v>
      </c>
      <c r="S55" s="5">
        <f t="shared" si="8"/>
        <v>30000</v>
      </c>
    </row>
    <row r="56" spans="1:19" ht="30" x14ac:dyDescent="0.25">
      <c r="A56" s="7"/>
      <c r="B56" s="15" t="s">
        <v>24</v>
      </c>
      <c r="C56" s="11" t="s">
        <v>60</v>
      </c>
      <c r="D56" s="11" t="s">
        <v>88</v>
      </c>
      <c r="E56" s="11" t="s">
        <v>75</v>
      </c>
      <c r="F56" s="12">
        <v>1</v>
      </c>
      <c r="G56" s="14">
        <v>66150</v>
      </c>
      <c r="H56" s="14">
        <v>45000</v>
      </c>
      <c r="I56" s="2">
        <f t="shared" si="0"/>
        <v>9</v>
      </c>
      <c r="J56" s="2">
        <f t="shared" si="9"/>
        <v>4</v>
      </c>
      <c r="K56" s="2">
        <f t="shared" si="2"/>
        <v>9</v>
      </c>
      <c r="L56" t="b" cm="1">
        <f t="array" ref="L56">BoldFont(H56)</f>
        <v>0</v>
      </c>
      <c r="M56" t="str">
        <f t="shared" si="1"/>
        <v>Schools To Pool</v>
      </c>
      <c r="N56" t="str">
        <f t="shared" si="3"/>
        <v>Stage 1 - Aubrey and Kelly's Flat</v>
      </c>
      <c r="O56" t="str">
        <f t="shared" si="4"/>
        <v>Detailed Design</v>
      </c>
      <c r="P56" s="4">
        <f t="shared" si="5"/>
        <v>44592</v>
      </c>
      <c r="Q56" s="4">
        <f t="shared" si="6"/>
        <v>44659</v>
      </c>
      <c r="R56" s="5">
        <f t="shared" si="7"/>
        <v>66150</v>
      </c>
      <c r="S56" s="5">
        <f t="shared" si="8"/>
        <v>45000</v>
      </c>
    </row>
    <row r="57" spans="1:19" ht="30" x14ac:dyDescent="0.25">
      <c r="A57" s="7"/>
      <c r="B57" s="15" t="s">
        <v>28</v>
      </c>
      <c r="C57" s="11" t="s">
        <v>77</v>
      </c>
      <c r="D57" s="11" t="s">
        <v>78</v>
      </c>
      <c r="E57" s="11" t="s">
        <v>79</v>
      </c>
      <c r="F57" s="12">
        <v>1</v>
      </c>
      <c r="G57" s="14">
        <v>0</v>
      </c>
      <c r="H57" s="14">
        <v>0</v>
      </c>
      <c r="I57" s="2">
        <f t="shared" si="0"/>
        <v>9</v>
      </c>
      <c r="J57" s="2">
        <f t="shared" si="9"/>
        <v>4</v>
      </c>
      <c r="K57" s="2">
        <f t="shared" si="2"/>
        <v>9</v>
      </c>
      <c r="L57" t="b" cm="1">
        <f t="array" ref="L57">BoldFont(H57)</f>
        <v>0</v>
      </c>
      <c r="M57" t="str">
        <f t="shared" si="1"/>
        <v>Schools To Pool</v>
      </c>
      <c r="N57" t="str">
        <f t="shared" si="3"/>
        <v>Stage 1 - Aubrey and Kelly's Flat</v>
      </c>
      <c r="O57" t="str">
        <f t="shared" si="4"/>
        <v>Tender</v>
      </c>
      <c r="P57" s="4">
        <f t="shared" si="5"/>
        <v>44795</v>
      </c>
      <c r="Q57" s="4">
        <f t="shared" si="6"/>
        <v>44883</v>
      </c>
      <c r="R57" s="5">
        <f t="shared" si="7"/>
        <v>0</v>
      </c>
      <c r="S57" s="5">
        <f t="shared" si="8"/>
        <v>0</v>
      </c>
    </row>
    <row r="58" spans="1:19" ht="30" x14ac:dyDescent="0.25">
      <c r="A58" s="7"/>
      <c r="B58" s="11" t="s">
        <v>32</v>
      </c>
      <c r="C58" s="11" t="s">
        <v>226</v>
      </c>
      <c r="D58" s="11" t="s">
        <v>82</v>
      </c>
      <c r="E58" s="11" t="s">
        <v>208</v>
      </c>
      <c r="F58" s="12">
        <v>1</v>
      </c>
      <c r="G58" s="14">
        <v>36675</v>
      </c>
      <c r="H58" s="14">
        <v>0</v>
      </c>
      <c r="I58" s="2">
        <f t="shared" si="0"/>
        <v>9</v>
      </c>
      <c r="J58" s="2">
        <f t="shared" si="9"/>
        <v>4</v>
      </c>
      <c r="K58" s="2">
        <f t="shared" si="2"/>
        <v>9</v>
      </c>
      <c r="L58" t="b" cm="1">
        <f t="array" ref="L58">BoldFont(H58)</f>
        <v>0</v>
      </c>
      <c r="M58" t="str">
        <f t="shared" si="1"/>
        <v>Schools To Pool</v>
      </c>
      <c r="N58" t="str">
        <f t="shared" si="3"/>
        <v>Stage 1 - Aubrey and Kelly's Flat</v>
      </c>
      <c r="O58" t="str">
        <f t="shared" si="4"/>
        <v>MSQA</v>
      </c>
      <c r="P58" s="4">
        <f t="shared" si="5"/>
        <v>44900</v>
      </c>
      <c r="Q58" s="4">
        <f t="shared" si="6"/>
        <v>45079</v>
      </c>
      <c r="R58" s="5">
        <f t="shared" si="7"/>
        <v>36675</v>
      </c>
      <c r="S58" s="5">
        <f t="shared" si="8"/>
        <v>0</v>
      </c>
    </row>
    <row r="59" spans="1:19" ht="30" x14ac:dyDescent="0.25">
      <c r="A59" s="7"/>
      <c r="B59" s="15" t="s">
        <v>194</v>
      </c>
      <c r="C59" s="11" t="s">
        <v>226</v>
      </c>
      <c r="D59" s="11" t="s">
        <v>82</v>
      </c>
      <c r="E59" s="11" t="s">
        <v>208</v>
      </c>
      <c r="F59" s="12">
        <v>1</v>
      </c>
      <c r="G59" s="14">
        <v>610923</v>
      </c>
      <c r="H59" s="14">
        <v>675000</v>
      </c>
      <c r="I59" s="2">
        <f t="shared" si="0"/>
        <v>9</v>
      </c>
      <c r="J59" s="2">
        <f t="shared" si="9"/>
        <v>4</v>
      </c>
      <c r="K59" s="2">
        <f t="shared" si="2"/>
        <v>9</v>
      </c>
      <c r="L59" t="b" cm="1">
        <f t="array" ref="L59">BoldFont(H59)</f>
        <v>0</v>
      </c>
      <c r="M59" t="str">
        <f t="shared" si="1"/>
        <v>Schools To Pool</v>
      </c>
      <c r="N59" t="str">
        <f t="shared" si="3"/>
        <v>Stage 1 - Aubrey and Kelly's Flat</v>
      </c>
      <c r="O59" t="str">
        <f t="shared" si="4"/>
        <v>Construction</v>
      </c>
      <c r="P59" s="4">
        <f t="shared" si="5"/>
        <v>44900</v>
      </c>
      <c r="Q59" s="4">
        <f t="shared" si="6"/>
        <v>45079</v>
      </c>
      <c r="R59" s="5">
        <f t="shared" si="7"/>
        <v>610923</v>
      </c>
      <c r="S59" s="5">
        <f t="shared" si="8"/>
        <v>675000</v>
      </c>
    </row>
    <row r="60" spans="1:19" ht="30" hidden="1" x14ac:dyDescent="0.25">
      <c r="A60" s="7"/>
      <c r="B60" s="8" t="s">
        <v>90</v>
      </c>
      <c r="C60" s="8" t="s">
        <v>235</v>
      </c>
      <c r="D60" s="8" t="s">
        <v>91</v>
      </c>
      <c r="E60" s="8" t="s">
        <v>236</v>
      </c>
      <c r="F60" s="9">
        <v>0.64</v>
      </c>
      <c r="G60" s="10">
        <v>1572575.5</v>
      </c>
      <c r="H60" s="10">
        <v>900000</v>
      </c>
      <c r="I60" s="2">
        <f t="shared" si="0"/>
        <v>6</v>
      </c>
      <c r="J60" s="2">
        <f t="shared" si="9"/>
        <v>4</v>
      </c>
      <c r="K60" s="2">
        <f t="shared" si="2"/>
        <v>9</v>
      </c>
      <c r="L60" t="b" cm="1">
        <f t="array" ref="L60">BoldFont(H60)</f>
        <v>1</v>
      </c>
      <c r="M60" t="str">
        <f t="shared" si="1"/>
        <v>Schools To Pool</v>
      </c>
      <c r="N60" t="str">
        <f t="shared" si="3"/>
        <v>Stage 2 - Kelly's Flat to Plantation Rd</v>
      </c>
      <c r="O60" t="str">
        <f t="shared" si="4"/>
        <v/>
      </c>
      <c r="P60" s="4">
        <f t="shared" si="5"/>
        <v>44683</v>
      </c>
      <c r="Q60" s="4">
        <f t="shared" si="6"/>
        <v>45363</v>
      </c>
      <c r="R60" s="5">
        <f t="shared" si="7"/>
        <v>1572575.5</v>
      </c>
      <c r="S60" s="5">
        <f t="shared" si="8"/>
        <v>900000</v>
      </c>
    </row>
    <row r="61" spans="1:19" ht="45" x14ac:dyDescent="0.25">
      <c r="A61" s="7"/>
      <c r="B61" s="15" t="s">
        <v>21</v>
      </c>
      <c r="C61" s="11" t="s">
        <v>54</v>
      </c>
      <c r="D61" s="11" t="s">
        <v>91</v>
      </c>
      <c r="E61" s="11" t="s">
        <v>31</v>
      </c>
      <c r="F61" s="12">
        <v>1</v>
      </c>
      <c r="G61" s="14">
        <v>15049.5</v>
      </c>
      <c r="H61" s="14">
        <v>36000</v>
      </c>
      <c r="I61" s="2">
        <f t="shared" si="0"/>
        <v>9</v>
      </c>
      <c r="J61" s="2">
        <f t="shared" si="9"/>
        <v>4</v>
      </c>
      <c r="K61" s="2">
        <f t="shared" si="2"/>
        <v>9</v>
      </c>
      <c r="L61" t="b" cm="1">
        <f t="array" ref="L61">BoldFont(H61)</f>
        <v>0</v>
      </c>
      <c r="M61" t="str">
        <f t="shared" si="1"/>
        <v>Schools To Pool</v>
      </c>
      <c r="N61" t="str">
        <f t="shared" si="3"/>
        <v>Stage 2 - Kelly's Flat to Plantation Rd</v>
      </c>
      <c r="O61" t="str">
        <f t="shared" si="4"/>
        <v>Concept Design including investigations and consultations where applicable</v>
      </c>
      <c r="P61" s="4">
        <f t="shared" si="5"/>
        <v>44683</v>
      </c>
      <c r="Q61" s="4">
        <f t="shared" si="6"/>
        <v>44764</v>
      </c>
      <c r="R61" s="5">
        <f t="shared" si="7"/>
        <v>15049.5</v>
      </c>
      <c r="S61" s="5">
        <f t="shared" si="8"/>
        <v>36000</v>
      </c>
    </row>
    <row r="62" spans="1:19" ht="30" x14ac:dyDescent="0.25">
      <c r="A62" s="7"/>
      <c r="B62" s="15" t="s">
        <v>92</v>
      </c>
      <c r="C62" s="11" t="s">
        <v>237</v>
      </c>
      <c r="D62" s="11" t="s">
        <v>94</v>
      </c>
      <c r="E62" s="11" t="s">
        <v>238</v>
      </c>
      <c r="F62" s="12">
        <v>1</v>
      </c>
      <c r="G62" s="14">
        <v>52500</v>
      </c>
      <c r="H62" s="14">
        <v>54000</v>
      </c>
      <c r="I62" s="2">
        <f t="shared" si="0"/>
        <v>9</v>
      </c>
      <c r="J62" s="2">
        <f t="shared" si="9"/>
        <v>4</v>
      </c>
      <c r="K62" s="2">
        <f t="shared" si="2"/>
        <v>9</v>
      </c>
      <c r="L62" t="b" cm="1">
        <f t="array" ref="L62">BoldFont(H62)</f>
        <v>0</v>
      </c>
      <c r="M62" t="str">
        <f t="shared" si="1"/>
        <v>Schools To Pool</v>
      </c>
      <c r="N62" t="str">
        <f t="shared" si="3"/>
        <v>Stage 2 - Kelly's Flat to Plantation Rd</v>
      </c>
      <c r="O62" t="str">
        <f t="shared" si="4"/>
        <v>Detailed Design including tender</v>
      </c>
      <c r="P62" s="4">
        <f t="shared" si="5"/>
        <v>44824</v>
      </c>
      <c r="Q62" s="4">
        <f t="shared" si="6"/>
        <v>45159</v>
      </c>
      <c r="R62" s="5">
        <f t="shared" si="7"/>
        <v>52500</v>
      </c>
      <c r="S62" s="5">
        <f t="shared" si="8"/>
        <v>54000</v>
      </c>
    </row>
    <row r="63" spans="1:19" ht="30" x14ac:dyDescent="0.25">
      <c r="A63" s="7"/>
      <c r="B63" s="11" t="s">
        <v>32</v>
      </c>
      <c r="C63" s="11" t="s">
        <v>239</v>
      </c>
      <c r="D63" s="11" t="s">
        <v>240</v>
      </c>
      <c r="E63" s="11" t="s">
        <v>236</v>
      </c>
      <c r="F63" s="12">
        <v>0.05</v>
      </c>
      <c r="G63" s="14">
        <v>40500</v>
      </c>
      <c r="H63" s="14">
        <v>0</v>
      </c>
      <c r="I63" s="2">
        <f t="shared" si="0"/>
        <v>9</v>
      </c>
      <c r="J63" s="2">
        <f t="shared" si="9"/>
        <v>4</v>
      </c>
      <c r="K63" s="2">
        <f t="shared" si="2"/>
        <v>9</v>
      </c>
      <c r="L63" t="b" cm="1">
        <f t="array" ref="L63">BoldFont(H63)</f>
        <v>0</v>
      </c>
      <c r="M63" t="str">
        <f t="shared" si="1"/>
        <v>Schools To Pool</v>
      </c>
      <c r="N63" t="str">
        <f t="shared" si="3"/>
        <v>Stage 2 - Kelly's Flat to Plantation Rd</v>
      </c>
      <c r="O63" t="str">
        <f t="shared" si="4"/>
        <v>MSQA</v>
      </c>
      <c r="P63" s="4">
        <f t="shared" si="5"/>
        <v>45236</v>
      </c>
      <c r="Q63" s="4">
        <f t="shared" si="6"/>
        <v>45363</v>
      </c>
      <c r="R63" s="5">
        <f t="shared" si="7"/>
        <v>40500</v>
      </c>
      <c r="S63" s="5">
        <f t="shared" si="8"/>
        <v>0</v>
      </c>
    </row>
    <row r="64" spans="1:19" ht="30" x14ac:dyDescent="0.25">
      <c r="A64" s="7"/>
      <c r="B64" s="15" t="s">
        <v>194</v>
      </c>
      <c r="C64" s="11" t="s">
        <v>239</v>
      </c>
      <c r="D64" s="11" t="s">
        <v>240</v>
      </c>
      <c r="E64" s="11" t="s">
        <v>236</v>
      </c>
      <c r="F64" s="12">
        <v>0.05</v>
      </c>
      <c r="G64" s="14">
        <v>1464526</v>
      </c>
      <c r="H64" s="14">
        <v>810000</v>
      </c>
      <c r="I64" s="2">
        <f t="shared" si="0"/>
        <v>9</v>
      </c>
      <c r="J64" s="2">
        <f t="shared" si="9"/>
        <v>4</v>
      </c>
      <c r="K64" s="2">
        <f t="shared" si="2"/>
        <v>9</v>
      </c>
      <c r="L64" t="b" cm="1">
        <f t="array" ref="L64">BoldFont(H64)</f>
        <v>0</v>
      </c>
      <c r="M64" t="str">
        <f t="shared" si="1"/>
        <v>Schools To Pool</v>
      </c>
      <c r="N64" t="str">
        <f t="shared" si="3"/>
        <v>Stage 2 - Kelly's Flat to Plantation Rd</v>
      </c>
      <c r="O64" t="str">
        <f t="shared" si="4"/>
        <v>Construction</v>
      </c>
      <c r="P64" s="4">
        <f t="shared" si="5"/>
        <v>45236</v>
      </c>
      <c r="Q64" s="4">
        <f t="shared" si="6"/>
        <v>45363</v>
      </c>
      <c r="R64" s="5">
        <f t="shared" si="7"/>
        <v>1464526</v>
      </c>
      <c r="S64" s="5">
        <f t="shared" si="8"/>
        <v>810000</v>
      </c>
    </row>
    <row r="65" spans="1:19" ht="30" hidden="1" x14ac:dyDescent="0.25">
      <c r="A65" s="7"/>
      <c r="B65" s="8" t="s">
        <v>96</v>
      </c>
      <c r="C65" s="8" t="s">
        <v>230</v>
      </c>
      <c r="D65" s="8" t="s">
        <v>91</v>
      </c>
      <c r="E65" s="8" t="s">
        <v>241</v>
      </c>
      <c r="F65" s="9">
        <v>0.75</v>
      </c>
      <c r="G65" s="10">
        <v>1017524</v>
      </c>
      <c r="H65" s="10">
        <v>750000</v>
      </c>
      <c r="I65" s="2">
        <f t="shared" si="0"/>
        <v>6</v>
      </c>
      <c r="J65" s="2">
        <f t="shared" si="9"/>
        <v>4</v>
      </c>
      <c r="K65" s="2">
        <f t="shared" si="2"/>
        <v>9</v>
      </c>
      <c r="L65" t="b" cm="1">
        <f t="array" ref="L65">BoldFont(H65)</f>
        <v>1</v>
      </c>
      <c r="M65" t="str">
        <f t="shared" si="1"/>
        <v>Schools To Pool</v>
      </c>
      <c r="N65" t="str">
        <f t="shared" si="3"/>
        <v>Stage 3 - Lismore Park to Hedditch Street</v>
      </c>
      <c r="O65" t="str">
        <f t="shared" si="4"/>
        <v/>
      </c>
      <c r="P65" s="4">
        <f t="shared" si="5"/>
        <v>44683</v>
      </c>
      <c r="Q65" s="4">
        <f t="shared" si="6"/>
        <v>45334</v>
      </c>
      <c r="R65" s="5">
        <f t="shared" si="7"/>
        <v>1017524</v>
      </c>
      <c r="S65" s="5">
        <f t="shared" si="8"/>
        <v>750000</v>
      </c>
    </row>
    <row r="66" spans="1:19" ht="45" x14ac:dyDescent="0.25">
      <c r="A66" s="7"/>
      <c r="B66" s="15" t="s">
        <v>21</v>
      </c>
      <c r="C66" s="11" t="s">
        <v>54</v>
      </c>
      <c r="D66" s="11" t="s">
        <v>91</v>
      </c>
      <c r="E66" s="11" t="s">
        <v>31</v>
      </c>
      <c r="F66" s="12">
        <v>1</v>
      </c>
      <c r="G66" s="14">
        <v>0</v>
      </c>
      <c r="H66" s="14">
        <v>30000</v>
      </c>
      <c r="I66" s="2">
        <f t="shared" si="0"/>
        <v>9</v>
      </c>
      <c r="J66" s="2">
        <f t="shared" si="9"/>
        <v>4</v>
      </c>
      <c r="K66" s="2">
        <f t="shared" si="2"/>
        <v>9</v>
      </c>
      <c r="L66" t="b" cm="1">
        <f t="array" ref="L66">BoldFont(H66)</f>
        <v>0</v>
      </c>
      <c r="M66" t="str">
        <f t="shared" si="1"/>
        <v>Schools To Pool</v>
      </c>
      <c r="N66" t="str">
        <f t="shared" si="3"/>
        <v>Stage 3 - Lismore Park to Hedditch Street</v>
      </c>
      <c r="O66" t="str">
        <f t="shared" si="4"/>
        <v>Concept Design including investigations and consultations where applicable</v>
      </c>
      <c r="P66" s="4">
        <f t="shared" si="5"/>
        <v>44683</v>
      </c>
      <c r="Q66" s="4">
        <f t="shared" si="6"/>
        <v>44764</v>
      </c>
      <c r="R66" s="5">
        <f t="shared" si="7"/>
        <v>0</v>
      </c>
      <c r="S66" s="5">
        <f t="shared" si="8"/>
        <v>30000</v>
      </c>
    </row>
    <row r="67" spans="1:19" ht="30" x14ac:dyDescent="0.25">
      <c r="A67" s="7"/>
      <c r="B67" s="15" t="s">
        <v>92</v>
      </c>
      <c r="C67" s="11" t="s">
        <v>237</v>
      </c>
      <c r="D67" s="11" t="s">
        <v>94</v>
      </c>
      <c r="E67" s="11" t="s">
        <v>238</v>
      </c>
      <c r="F67" s="12">
        <v>1</v>
      </c>
      <c r="G67" s="14">
        <v>26520</v>
      </c>
      <c r="H67" s="14">
        <v>45000</v>
      </c>
      <c r="I67" s="2">
        <f t="shared" ref="I67:I130" si="10">LEN(B67) - LEN(TRIM(B67))</f>
        <v>9</v>
      </c>
      <c r="J67" s="2">
        <f t="shared" si="9"/>
        <v>4</v>
      </c>
      <c r="K67" s="2">
        <f t="shared" si="2"/>
        <v>9</v>
      </c>
      <c r="L67" t="b" cm="1">
        <f t="array" ref="L67">BoldFont(H67)</f>
        <v>0</v>
      </c>
      <c r="M67" t="str">
        <f t="shared" ref="M67:M130" si="11">IF(I67=3,TRIM(B67),M66)</f>
        <v>Schools To Pool</v>
      </c>
      <c r="N67" t="str">
        <f t="shared" si="3"/>
        <v>Stage 3 - Lismore Park to Hedditch Street</v>
      </c>
      <c r="O67" t="str">
        <f t="shared" si="4"/>
        <v>Detailed Design including tender</v>
      </c>
      <c r="P67" s="4">
        <f t="shared" si="5"/>
        <v>44824</v>
      </c>
      <c r="Q67" s="4">
        <f t="shared" si="6"/>
        <v>45159</v>
      </c>
      <c r="R67" s="5">
        <f t="shared" si="7"/>
        <v>26520</v>
      </c>
      <c r="S67" s="5">
        <f t="shared" si="8"/>
        <v>45000</v>
      </c>
    </row>
    <row r="68" spans="1:19" ht="30" x14ac:dyDescent="0.25">
      <c r="A68" s="7"/>
      <c r="B68" s="11" t="s">
        <v>32</v>
      </c>
      <c r="C68" s="11" t="s">
        <v>242</v>
      </c>
      <c r="D68" s="11" t="s">
        <v>243</v>
      </c>
      <c r="E68" s="11" t="s">
        <v>241</v>
      </c>
      <c r="F68" s="12">
        <v>0.4</v>
      </c>
      <c r="G68" s="14">
        <v>33750</v>
      </c>
      <c r="H68" s="14">
        <v>0</v>
      </c>
      <c r="I68" s="2">
        <f t="shared" si="10"/>
        <v>9</v>
      </c>
      <c r="J68" s="2">
        <f t="shared" si="9"/>
        <v>4</v>
      </c>
      <c r="K68" s="2">
        <f t="shared" ref="K68:K131" si="12">_xlfn.MAXIFS($I$3:$I$210,$J$3:$J$210,J68)</f>
        <v>9</v>
      </c>
      <c r="L68" t="b" cm="1">
        <f t="array" ref="L68">BoldFont(H68)</f>
        <v>0</v>
      </c>
      <c r="M68" t="str">
        <f t="shared" si="11"/>
        <v>Schools To Pool</v>
      </c>
      <c r="N68" t="str">
        <f t="shared" ref="N68:N131" si="13">IF(I68=6,IF(K68=6, M68,TRIM(B68)),N67)</f>
        <v>Stage 3 - Lismore Park to Hedditch Street</v>
      </c>
      <c r="O68" t="str">
        <f t="shared" ref="O68:O131" si="14">IF(K68=I68,TRIM(B68),"")</f>
        <v>MSQA</v>
      </c>
      <c r="P68" s="4">
        <f t="shared" ref="P68:P131" si="15">DATEVALUE(RIGHT(D68,LEN(D68)-4))</f>
        <v>45188</v>
      </c>
      <c r="Q68" s="4">
        <f t="shared" ref="Q68:Q131" si="16">DATEVALUE(RIGHT(E68,LEN(E68)-4))</f>
        <v>45334</v>
      </c>
      <c r="R68" s="5">
        <f t="shared" ref="R68:R131" si="17">G68</f>
        <v>33750</v>
      </c>
      <c r="S68" s="5">
        <f t="shared" ref="S68:S131" si="18">H68</f>
        <v>0</v>
      </c>
    </row>
    <row r="69" spans="1:19" ht="30" x14ac:dyDescent="0.25">
      <c r="A69" s="7"/>
      <c r="B69" s="15" t="s">
        <v>194</v>
      </c>
      <c r="C69" s="11" t="s">
        <v>242</v>
      </c>
      <c r="D69" s="11" t="s">
        <v>243</v>
      </c>
      <c r="E69" s="11" t="s">
        <v>241</v>
      </c>
      <c r="F69" s="12">
        <v>0.4</v>
      </c>
      <c r="G69" s="14">
        <v>957254</v>
      </c>
      <c r="H69" s="14">
        <v>675000</v>
      </c>
      <c r="I69" s="2">
        <f t="shared" si="10"/>
        <v>9</v>
      </c>
      <c r="J69" s="2">
        <f t="shared" ref="J69:J132" si="19">IF(I69=3,J68+1,J68)</f>
        <v>4</v>
      </c>
      <c r="K69" s="2">
        <f t="shared" si="12"/>
        <v>9</v>
      </c>
      <c r="L69" t="b" cm="1">
        <f t="array" ref="L69">BoldFont(H69)</f>
        <v>0</v>
      </c>
      <c r="M69" t="str">
        <f t="shared" si="11"/>
        <v>Schools To Pool</v>
      </c>
      <c r="N69" t="str">
        <f t="shared" si="13"/>
        <v>Stage 3 - Lismore Park to Hedditch Street</v>
      </c>
      <c r="O69" t="str">
        <f t="shared" si="14"/>
        <v>Construction</v>
      </c>
      <c r="P69" s="4">
        <f t="shared" si="15"/>
        <v>45188</v>
      </c>
      <c r="Q69" s="4">
        <f t="shared" si="16"/>
        <v>45334</v>
      </c>
      <c r="R69" s="5">
        <f t="shared" si="17"/>
        <v>957254</v>
      </c>
      <c r="S69" s="5">
        <f t="shared" si="18"/>
        <v>675000</v>
      </c>
    </row>
    <row r="70" spans="1:19" ht="30" hidden="1" x14ac:dyDescent="0.25">
      <c r="A70" s="7"/>
      <c r="B70" s="8" t="s">
        <v>97</v>
      </c>
      <c r="C70" s="8" t="s">
        <v>98</v>
      </c>
      <c r="D70" s="8" t="s">
        <v>50</v>
      </c>
      <c r="E70" s="8" t="s">
        <v>99</v>
      </c>
      <c r="F70" s="9">
        <v>0.5</v>
      </c>
      <c r="G70" s="10">
        <v>1418800</v>
      </c>
      <c r="H70" s="10">
        <v>2000000</v>
      </c>
      <c r="I70" s="2">
        <f t="shared" si="10"/>
        <v>6</v>
      </c>
      <c r="J70" s="2">
        <f t="shared" si="19"/>
        <v>4</v>
      </c>
      <c r="K70" s="2">
        <f t="shared" si="12"/>
        <v>9</v>
      </c>
      <c r="L70" t="b" cm="1">
        <f t="array" ref="L70">BoldFont(H70)</f>
        <v>1</v>
      </c>
      <c r="M70" t="str">
        <f t="shared" si="11"/>
        <v>Schools To Pool</v>
      </c>
      <c r="N70" t="str">
        <f t="shared" si="13"/>
        <v>Stage 4 - SH84 Crossing</v>
      </c>
      <c r="O70" t="str">
        <f t="shared" si="14"/>
        <v/>
      </c>
      <c r="P70" s="4">
        <f t="shared" si="15"/>
        <v>44743</v>
      </c>
      <c r="Q70" s="4">
        <f t="shared" si="16"/>
        <v>45372</v>
      </c>
      <c r="R70" s="5">
        <f t="shared" si="17"/>
        <v>1418800</v>
      </c>
      <c r="S70" s="5">
        <f t="shared" si="18"/>
        <v>2000000</v>
      </c>
    </row>
    <row r="71" spans="1:19" ht="30" x14ac:dyDescent="0.25">
      <c r="A71" s="7"/>
      <c r="B71" s="11" t="s">
        <v>100</v>
      </c>
      <c r="C71" s="11" t="s">
        <v>228</v>
      </c>
      <c r="D71" s="11" t="s">
        <v>50</v>
      </c>
      <c r="E71" s="11" t="s">
        <v>229</v>
      </c>
      <c r="F71" s="12">
        <v>1</v>
      </c>
      <c r="G71" s="14">
        <v>78800</v>
      </c>
      <c r="H71" s="14">
        <v>40000</v>
      </c>
      <c r="I71" s="2">
        <f t="shared" si="10"/>
        <v>9</v>
      </c>
      <c r="J71" s="2">
        <f t="shared" si="19"/>
        <v>4</v>
      </c>
      <c r="K71" s="2">
        <f t="shared" si="12"/>
        <v>9</v>
      </c>
      <c r="L71" t="b" cm="1">
        <f t="array" ref="L71">BoldFont(H71)</f>
        <v>0</v>
      </c>
      <c r="M71" t="str">
        <f t="shared" si="11"/>
        <v>Schools To Pool</v>
      </c>
      <c r="N71" t="str">
        <f t="shared" si="13"/>
        <v>Stage 4 - SH84 Crossing</v>
      </c>
      <c r="O71" t="str">
        <f t="shared" si="14"/>
        <v>Feasability Stage</v>
      </c>
      <c r="P71" s="4">
        <f t="shared" si="15"/>
        <v>44743</v>
      </c>
      <c r="Q71" s="4">
        <f t="shared" si="16"/>
        <v>45071</v>
      </c>
      <c r="R71" s="5">
        <f t="shared" si="17"/>
        <v>78800</v>
      </c>
      <c r="S71" s="5">
        <f t="shared" si="18"/>
        <v>40000</v>
      </c>
    </row>
    <row r="72" spans="1:19" ht="30" x14ac:dyDescent="0.25">
      <c r="A72" s="7"/>
      <c r="B72" s="15" t="s">
        <v>92</v>
      </c>
      <c r="C72" s="11" t="s">
        <v>64</v>
      </c>
      <c r="D72" s="11" t="s">
        <v>215</v>
      </c>
      <c r="E72" s="11" t="s">
        <v>122</v>
      </c>
      <c r="F72" s="12">
        <v>0.5</v>
      </c>
      <c r="G72" s="14">
        <v>80000</v>
      </c>
      <c r="H72" s="14">
        <v>80000</v>
      </c>
      <c r="I72" s="2">
        <f t="shared" si="10"/>
        <v>9</v>
      </c>
      <c r="J72" s="2">
        <f t="shared" si="19"/>
        <v>4</v>
      </c>
      <c r="K72" s="2">
        <f t="shared" si="12"/>
        <v>9</v>
      </c>
      <c r="L72" t="b" cm="1">
        <f t="array" ref="L72">BoldFont(H72)</f>
        <v>0</v>
      </c>
      <c r="M72" t="str">
        <f t="shared" si="11"/>
        <v>Schools To Pool</v>
      </c>
      <c r="N72" t="str">
        <f t="shared" si="13"/>
        <v>Stage 4 - SH84 Crossing</v>
      </c>
      <c r="O72" t="str">
        <f t="shared" si="14"/>
        <v>Detailed Design including tender</v>
      </c>
      <c r="P72" s="4">
        <f t="shared" si="15"/>
        <v>45187</v>
      </c>
      <c r="Q72" s="4">
        <f t="shared" si="16"/>
        <v>45296</v>
      </c>
      <c r="R72" s="5">
        <f t="shared" si="17"/>
        <v>80000</v>
      </c>
      <c r="S72" s="5">
        <f t="shared" si="18"/>
        <v>80000</v>
      </c>
    </row>
    <row r="73" spans="1:19" ht="30" x14ac:dyDescent="0.25">
      <c r="A73" s="7"/>
      <c r="B73" s="11" t="s">
        <v>32</v>
      </c>
      <c r="C73" s="11" t="s">
        <v>93</v>
      </c>
      <c r="D73" s="11" t="s">
        <v>244</v>
      </c>
      <c r="E73" s="11" t="s">
        <v>233</v>
      </c>
      <c r="F73" s="12">
        <v>0</v>
      </c>
      <c r="G73" s="14">
        <v>60000</v>
      </c>
      <c r="H73" s="14">
        <v>0</v>
      </c>
      <c r="I73" s="2">
        <f t="shared" si="10"/>
        <v>9</v>
      </c>
      <c r="J73" s="2">
        <f t="shared" si="19"/>
        <v>4</v>
      </c>
      <c r="K73" s="2">
        <f t="shared" si="12"/>
        <v>9</v>
      </c>
      <c r="L73" t="b" cm="1">
        <f t="array" ref="L73">BoldFont(H73)</f>
        <v>0</v>
      </c>
      <c r="M73" t="str">
        <f t="shared" si="11"/>
        <v>Schools To Pool</v>
      </c>
      <c r="N73" t="str">
        <f t="shared" si="13"/>
        <v>Stage 4 - SH84 Crossing</v>
      </c>
      <c r="O73" t="str">
        <f t="shared" si="14"/>
        <v>MSQA</v>
      </c>
      <c r="P73" s="4">
        <f t="shared" si="15"/>
        <v>45299</v>
      </c>
      <c r="Q73" s="4">
        <f t="shared" si="16"/>
        <v>45464</v>
      </c>
      <c r="R73" s="5">
        <f t="shared" si="17"/>
        <v>60000</v>
      </c>
      <c r="S73" s="5">
        <f t="shared" si="18"/>
        <v>0</v>
      </c>
    </row>
    <row r="74" spans="1:19" ht="30" x14ac:dyDescent="0.25">
      <c r="A74" s="7"/>
      <c r="B74" s="15" t="s">
        <v>194</v>
      </c>
      <c r="C74" s="11" t="s">
        <v>93</v>
      </c>
      <c r="D74" s="11" t="s">
        <v>244</v>
      </c>
      <c r="E74" s="11" t="s">
        <v>233</v>
      </c>
      <c r="F74" s="12">
        <v>0</v>
      </c>
      <c r="G74" s="14">
        <v>1200000</v>
      </c>
      <c r="H74" s="14">
        <v>1800000</v>
      </c>
      <c r="I74" s="2">
        <f t="shared" si="10"/>
        <v>9</v>
      </c>
      <c r="J74" s="2">
        <f t="shared" si="19"/>
        <v>4</v>
      </c>
      <c r="K74" s="2">
        <f t="shared" si="12"/>
        <v>9</v>
      </c>
      <c r="L74" t="b" cm="1">
        <f t="array" ref="L74">BoldFont(H74)</f>
        <v>0</v>
      </c>
      <c r="M74" t="str">
        <f t="shared" si="11"/>
        <v>Schools To Pool</v>
      </c>
      <c r="N74" t="str">
        <f t="shared" si="13"/>
        <v>Stage 4 - SH84 Crossing</v>
      </c>
      <c r="O74" t="str">
        <f t="shared" si="14"/>
        <v>Construction</v>
      </c>
      <c r="P74" s="4">
        <f t="shared" si="15"/>
        <v>45299</v>
      </c>
      <c r="Q74" s="4">
        <f t="shared" si="16"/>
        <v>45464</v>
      </c>
      <c r="R74" s="5">
        <f t="shared" si="17"/>
        <v>1200000</v>
      </c>
      <c r="S74" s="5">
        <f t="shared" si="18"/>
        <v>1800000</v>
      </c>
    </row>
    <row r="75" spans="1:19" ht="30" hidden="1" x14ac:dyDescent="0.25">
      <c r="A75" s="7"/>
      <c r="B75" s="8" t="s">
        <v>103</v>
      </c>
      <c r="C75" s="8" t="s">
        <v>245</v>
      </c>
      <c r="D75" s="8" t="s">
        <v>50</v>
      </c>
      <c r="E75" s="8" t="s">
        <v>233</v>
      </c>
      <c r="F75" s="9">
        <v>0.51</v>
      </c>
      <c r="G75" s="10">
        <v>751000</v>
      </c>
      <c r="H75" s="10">
        <v>600000</v>
      </c>
      <c r="I75" s="2">
        <f t="shared" si="10"/>
        <v>6</v>
      </c>
      <c r="J75" s="2">
        <f t="shared" si="19"/>
        <v>4</v>
      </c>
      <c r="K75" s="2">
        <f t="shared" si="12"/>
        <v>9</v>
      </c>
      <c r="L75" t="b" cm="1">
        <f t="array" ref="L75">BoldFont(H75)</f>
        <v>1</v>
      </c>
      <c r="M75" t="str">
        <f t="shared" si="11"/>
        <v>Schools To Pool</v>
      </c>
      <c r="N75" t="str">
        <f t="shared" si="13"/>
        <v>Stage 5 - Ballantyne Road</v>
      </c>
      <c r="O75" t="str">
        <f t="shared" si="14"/>
        <v/>
      </c>
      <c r="P75" s="4">
        <f t="shared" si="15"/>
        <v>44743</v>
      </c>
      <c r="Q75" s="4">
        <f t="shared" si="16"/>
        <v>45464</v>
      </c>
      <c r="R75" s="5">
        <f t="shared" si="17"/>
        <v>751000</v>
      </c>
      <c r="S75" s="5">
        <f t="shared" si="18"/>
        <v>600000</v>
      </c>
    </row>
    <row r="76" spans="1:19" ht="30" x14ac:dyDescent="0.25">
      <c r="A76" s="7"/>
      <c r="B76" s="11" t="s">
        <v>100</v>
      </c>
      <c r="C76" s="11" t="s">
        <v>228</v>
      </c>
      <c r="D76" s="11" t="s">
        <v>50</v>
      </c>
      <c r="E76" s="11" t="s">
        <v>229</v>
      </c>
      <c r="F76" s="12">
        <v>1</v>
      </c>
      <c r="G76" s="14">
        <v>0</v>
      </c>
      <c r="H76" s="14">
        <v>12000</v>
      </c>
      <c r="I76" s="2">
        <f t="shared" si="10"/>
        <v>9</v>
      </c>
      <c r="J76" s="2">
        <f t="shared" si="19"/>
        <v>4</v>
      </c>
      <c r="K76" s="2">
        <f t="shared" si="12"/>
        <v>9</v>
      </c>
      <c r="L76" t="b" cm="1">
        <f t="array" ref="L76">BoldFont(H76)</f>
        <v>0</v>
      </c>
      <c r="M76" t="str">
        <f t="shared" si="11"/>
        <v>Schools To Pool</v>
      </c>
      <c r="N76" t="str">
        <f t="shared" si="13"/>
        <v>Stage 5 - Ballantyne Road</v>
      </c>
      <c r="O76" t="str">
        <f t="shared" si="14"/>
        <v>Feasability Stage</v>
      </c>
      <c r="P76" s="4">
        <f t="shared" si="15"/>
        <v>44743</v>
      </c>
      <c r="Q76" s="4">
        <f t="shared" si="16"/>
        <v>45071</v>
      </c>
      <c r="R76" s="5">
        <f t="shared" si="17"/>
        <v>0</v>
      </c>
      <c r="S76" s="5">
        <f t="shared" si="18"/>
        <v>12000</v>
      </c>
    </row>
    <row r="77" spans="1:19" ht="30" x14ac:dyDescent="0.25">
      <c r="A77" s="7"/>
      <c r="B77" s="15" t="s">
        <v>92</v>
      </c>
      <c r="C77" s="11" t="s">
        <v>64</v>
      </c>
      <c r="D77" s="11" t="s">
        <v>215</v>
      </c>
      <c r="E77" s="11" t="s">
        <v>122</v>
      </c>
      <c r="F77" s="12">
        <v>0.6</v>
      </c>
      <c r="G77" s="14">
        <v>24000</v>
      </c>
      <c r="H77" s="14">
        <v>24000</v>
      </c>
      <c r="I77" s="2">
        <f t="shared" si="10"/>
        <v>9</v>
      </c>
      <c r="J77" s="2">
        <f t="shared" si="19"/>
        <v>4</v>
      </c>
      <c r="K77" s="2">
        <f t="shared" si="12"/>
        <v>9</v>
      </c>
      <c r="L77" t="b" cm="1">
        <f t="array" ref="L77">BoldFont(H77)</f>
        <v>0</v>
      </c>
      <c r="M77" t="str">
        <f t="shared" si="11"/>
        <v>Schools To Pool</v>
      </c>
      <c r="N77" t="str">
        <f t="shared" si="13"/>
        <v>Stage 5 - Ballantyne Road</v>
      </c>
      <c r="O77" t="str">
        <f t="shared" si="14"/>
        <v>Detailed Design including tender</v>
      </c>
      <c r="P77" s="4">
        <f t="shared" si="15"/>
        <v>45187</v>
      </c>
      <c r="Q77" s="4">
        <f t="shared" si="16"/>
        <v>45296</v>
      </c>
      <c r="R77" s="5">
        <f t="shared" si="17"/>
        <v>24000</v>
      </c>
      <c r="S77" s="5">
        <f t="shared" si="18"/>
        <v>24000</v>
      </c>
    </row>
    <row r="78" spans="1:19" ht="30" x14ac:dyDescent="0.25">
      <c r="A78" s="7"/>
      <c r="B78" s="11" t="s">
        <v>32</v>
      </c>
      <c r="C78" s="11" t="s">
        <v>93</v>
      </c>
      <c r="D78" s="11" t="s">
        <v>244</v>
      </c>
      <c r="E78" s="11" t="s">
        <v>233</v>
      </c>
      <c r="F78" s="12">
        <v>0</v>
      </c>
      <c r="G78" s="14">
        <v>27000</v>
      </c>
      <c r="H78" s="14">
        <v>0</v>
      </c>
      <c r="I78" s="2">
        <f t="shared" si="10"/>
        <v>9</v>
      </c>
      <c r="J78" s="2">
        <f t="shared" si="19"/>
        <v>4</v>
      </c>
      <c r="K78" s="2">
        <f t="shared" si="12"/>
        <v>9</v>
      </c>
      <c r="L78" t="b" cm="1">
        <f t="array" ref="L78">BoldFont(H78)</f>
        <v>0</v>
      </c>
      <c r="M78" t="str">
        <f t="shared" si="11"/>
        <v>Schools To Pool</v>
      </c>
      <c r="N78" t="str">
        <f t="shared" si="13"/>
        <v>Stage 5 - Ballantyne Road</v>
      </c>
      <c r="O78" t="str">
        <f t="shared" si="14"/>
        <v>MSQA</v>
      </c>
      <c r="P78" s="4">
        <f t="shared" si="15"/>
        <v>45299</v>
      </c>
      <c r="Q78" s="4">
        <f t="shared" si="16"/>
        <v>45464</v>
      </c>
      <c r="R78" s="5">
        <f t="shared" si="17"/>
        <v>27000</v>
      </c>
      <c r="S78" s="5">
        <f t="shared" si="18"/>
        <v>0</v>
      </c>
    </row>
    <row r="79" spans="1:19" ht="30" x14ac:dyDescent="0.25">
      <c r="A79" s="7"/>
      <c r="B79" s="15" t="s">
        <v>194</v>
      </c>
      <c r="C79" s="11" t="s">
        <v>93</v>
      </c>
      <c r="D79" s="11" t="s">
        <v>244</v>
      </c>
      <c r="E79" s="11" t="s">
        <v>233</v>
      </c>
      <c r="F79" s="12">
        <v>0</v>
      </c>
      <c r="G79" s="14">
        <v>700000</v>
      </c>
      <c r="H79" s="14">
        <v>540000</v>
      </c>
      <c r="I79" s="2">
        <f t="shared" si="10"/>
        <v>9</v>
      </c>
      <c r="J79" s="2">
        <f t="shared" si="19"/>
        <v>4</v>
      </c>
      <c r="K79" s="2">
        <f t="shared" si="12"/>
        <v>9</v>
      </c>
      <c r="L79" t="b" cm="1">
        <f t="array" ref="L79">BoldFont(H79)</f>
        <v>0</v>
      </c>
      <c r="M79" t="str">
        <f t="shared" si="11"/>
        <v>Schools To Pool</v>
      </c>
      <c r="N79" t="str">
        <f t="shared" si="13"/>
        <v>Stage 5 - Ballantyne Road</v>
      </c>
      <c r="O79" t="str">
        <f t="shared" si="14"/>
        <v>Construction</v>
      </c>
      <c r="P79" s="4">
        <f t="shared" si="15"/>
        <v>45299</v>
      </c>
      <c r="Q79" s="4">
        <f t="shared" si="16"/>
        <v>45464</v>
      </c>
      <c r="R79" s="5">
        <f t="shared" si="17"/>
        <v>700000</v>
      </c>
      <c r="S79" s="5">
        <f t="shared" si="18"/>
        <v>540000</v>
      </c>
    </row>
    <row r="80" spans="1:19" ht="30" hidden="1" x14ac:dyDescent="0.25">
      <c r="A80" s="8">
        <v>152533</v>
      </c>
      <c r="B80" s="8" t="s">
        <v>104</v>
      </c>
      <c r="C80" s="8" t="s">
        <v>267</v>
      </c>
      <c r="D80" s="8" t="s">
        <v>105</v>
      </c>
      <c r="E80" s="8" t="s">
        <v>268</v>
      </c>
      <c r="F80" s="9">
        <v>0.84</v>
      </c>
      <c r="G80" s="10">
        <v>1732797</v>
      </c>
      <c r="H80" s="10">
        <v>400000</v>
      </c>
      <c r="I80" s="2">
        <f t="shared" si="10"/>
        <v>3</v>
      </c>
      <c r="J80" s="2">
        <f t="shared" si="19"/>
        <v>5</v>
      </c>
      <c r="K80" s="2">
        <f t="shared" si="12"/>
        <v>6</v>
      </c>
      <c r="L80" t="b" cm="1">
        <f t="array" ref="L80">BoldFont(H80)</f>
        <v>1</v>
      </c>
      <c r="M80" t="str">
        <f t="shared" si="11"/>
        <v>Hawthorne Red Oaks IS SNP</v>
      </c>
      <c r="N80" t="str">
        <f t="shared" si="13"/>
        <v>Stage 5 - Ballantyne Road</v>
      </c>
      <c r="O80" t="str">
        <f t="shared" si="14"/>
        <v/>
      </c>
      <c r="P80" s="4">
        <f t="shared" si="15"/>
        <v>44571</v>
      </c>
      <c r="Q80" s="4">
        <f t="shared" si="16"/>
        <v>45324</v>
      </c>
      <c r="R80" s="5">
        <f t="shared" si="17"/>
        <v>1732797</v>
      </c>
      <c r="S80" s="5">
        <f t="shared" si="18"/>
        <v>400000</v>
      </c>
    </row>
    <row r="81" spans="1:19" ht="30" x14ac:dyDescent="0.25">
      <c r="A81" s="7"/>
      <c r="B81" s="15" t="s">
        <v>73</v>
      </c>
      <c r="C81" s="11" t="s">
        <v>64</v>
      </c>
      <c r="D81" s="11" t="s">
        <v>105</v>
      </c>
      <c r="E81" s="11" t="s">
        <v>106</v>
      </c>
      <c r="F81" s="12">
        <v>1</v>
      </c>
      <c r="G81" s="14">
        <v>32415</v>
      </c>
      <c r="H81" s="14">
        <v>24000</v>
      </c>
      <c r="I81" s="2">
        <f t="shared" si="10"/>
        <v>6</v>
      </c>
      <c r="J81" s="2">
        <f t="shared" si="19"/>
        <v>5</v>
      </c>
      <c r="K81" s="2">
        <f t="shared" si="12"/>
        <v>6</v>
      </c>
      <c r="L81" t="b" cm="1">
        <f t="array" ref="L81">BoldFont(H81)</f>
        <v>0</v>
      </c>
      <c r="M81" t="str">
        <f t="shared" si="11"/>
        <v>Hawthorne Red Oaks IS SNP</v>
      </c>
      <c r="N81" t="str">
        <f t="shared" si="13"/>
        <v>Hawthorne Red Oaks IS SNP</v>
      </c>
      <c r="O81" t="str">
        <f t="shared" si="14"/>
        <v>Detailed Design</v>
      </c>
      <c r="P81" s="4">
        <f t="shared" si="15"/>
        <v>44571</v>
      </c>
      <c r="Q81" s="4">
        <f t="shared" si="16"/>
        <v>44680</v>
      </c>
      <c r="R81" s="5">
        <f t="shared" si="17"/>
        <v>32415</v>
      </c>
      <c r="S81" s="5">
        <f t="shared" si="18"/>
        <v>24000</v>
      </c>
    </row>
    <row r="82" spans="1:19" ht="30" x14ac:dyDescent="0.25">
      <c r="A82" s="7"/>
      <c r="B82" s="15" t="s">
        <v>76</v>
      </c>
      <c r="C82" s="11" t="s">
        <v>203</v>
      </c>
      <c r="D82" s="11" t="s">
        <v>204</v>
      </c>
      <c r="E82" s="11" t="s">
        <v>108</v>
      </c>
      <c r="F82" s="12">
        <v>1</v>
      </c>
      <c r="G82" s="14">
        <v>0</v>
      </c>
      <c r="H82" s="14">
        <v>0</v>
      </c>
      <c r="I82" s="2">
        <f t="shared" si="10"/>
        <v>6</v>
      </c>
      <c r="J82" s="2">
        <f t="shared" si="19"/>
        <v>5</v>
      </c>
      <c r="K82" s="2">
        <f t="shared" si="12"/>
        <v>6</v>
      </c>
      <c r="L82" t="b" cm="1">
        <f t="array" ref="L82">BoldFont(H82)</f>
        <v>0</v>
      </c>
      <c r="M82" t="str">
        <f t="shared" si="11"/>
        <v>Hawthorne Red Oaks IS SNP</v>
      </c>
      <c r="N82" t="str">
        <f t="shared" si="13"/>
        <v>Hawthorne Red Oaks IS SNP</v>
      </c>
      <c r="O82" t="str">
        <f t="shared" si="14"/>
        <v>Tender</v>
      </c>
      <c r="P82" s="4">
        <f t="shared" si="15"/>
        <v>44928</v>
      </c>
      <c r="Q82" s="4">
        <f t="shared" si="16"/>
        <v>44988</v>
      </c>
      <c r="R82" s="5">
        <f t="shared" si="17"/>
        <v>0</v>
      </c>
      <c r="S82" s="5">
        <f t="shared" si="18"/>
        <v>0</v>
      </c>
    </row>
    <row r="83" spans="1:19" ht="30" x14ac:dyDescent="0.25">
      <c r="A83" s="7"/>
      <c r="B83" s="11" t="s">
        <v>80</v>
      </c>
      <c r="C83" s="11" t="s">
        <v>214</v>
      </c>
      <c r="D83" s="11" t="s">
        <v>109</v>
      </c>
      <c r="E83" s="11" t="s">
        <v>268</v>
      </c>
      <c r="F83" s="12">
        <v>0.8</v>
      </c>
      <c r="G83" s="14">
        <v>50100</v>
      </c>
      <c r="H83" s="14">
        <v>0</v>
      </c>
      <c r="I83" s="2">
        <f t="shared" si="10"/>
        <v>6</v>
      </c>
      <c r="J83" s="2">
        <f t="shared" si="19"/>
        <v>5</v>
      </c>
      <c r="K83" s="2">
        <f t="shared" si="12"/>
        <v>6</v>
      </c>
      <c r="L83" t="b" cm="1">
        <f t="array" ref="L83">BoldFont(H83)</f>
        <v>0</v>
      </c>
      <c r="M83" t="str">
        <f t="shared" si="11"/>
        <v>Hawthorne Red Oaks IS SNP</v>
      </c>
      <c r="N83" t="str">
        <f t="shared" si="13"/>
        <v>Hawthorne Red Oaks IS SNP</v>
      </c>
      <c r="O83" t="str">
        <f t="shared" si="14"/>
        <v>MSQA</v>
      </c>
      <c r="P83" s="4">
        <f t="shared" si="15"/>
        <v>45005</v>
      </c>
      <c r="Q83" s="4">
        <f t="shared" si="16"/>
        <v>45324</v>
      </c>
      <c r="R83" s="5">
        <f t="shared" si="17"/>
        <v>50100</v>
      </c>
      <c r="S83" s="5">
        <f t="shared" si="18"/>
        <v>0</v>
      </c>
    </row>
    <row r="84" spans="1:19" ht="30" x14ac:dyDescent="0.25">
      <c r="A84" s="7"/>
      <c r="B84" s="15" t="s">
        <v>195</v>
      </c>
      <c r="C84" s="11" t="s">
        <v>214</v>
      </c>
      <c r="D84" s="11" t="s">
        <v>109</v>
      </c>
      <c r="E84" s="11" t="s">
        <v>268</v>
      </c>
      <c r="F84" s="12">
        <v>0.8</v>
      </c>
      <c r="G84" s="14">
        <v>1650282</v>
      </c>
      <c r="H84" s="14">
        <v>376000</v>
      </c>
      <c r="I84" s="2">
        <f t="shared" si="10"/>
        <v>6</v>
      </c>
      <c r="J84" s="2">
        <f t="shared" si="19"/>
        <v>5</v>
      </c>
      <c r="K84" s="2">
        <f t="shared" si="12"/>
        <v>6</v>
      </c>
      <c r="L84" t="b" cm="1">
        <f t="array" ref="L84">BoldFont(H84)</f>
        <v>0</v>
      </c>
      <c r="M84" t="str">
        <f t="shared" si="11"/>
        <v>Hawthorne Red Oaks IS SNP</v>
      </c>
      <c r="N84" t="str">
        <f t="shared" si="13"/>
        <v>Hawthorne Red Oaks IS SNP</v>
      </c>
      <c r="O84" t="str">
        <f t="shared" si="14"/>
        <v>Construction</v>
      </c>
      <c r="P84" s="4">
        <f t="shared" si="15"/>
        <v>45005</v>
      </c>
      <c r="Q84" s="4">
        <f t="shared" si="16"/>
        <v>45324</v>
      </c>
      <c r="R84" s="5">
        <f t="shared" si="17"/>
        <v>1650282</v>
      </c>
      <c r="S84" s="5">
        <f t="shared" si="18"/>
        <v>376000</v>
      </c>
    </row>
    <row r="85" spans="1:19" ht="30" hidden="1" x14ac:dyDescent="0.25">
      <c r="A85" s="8">
        <v>152548</v>
      </c>
      <c r="B85" s="8" t="s">
        <v>110</v>
      </c>
      <c r="C85" s="8" t="s">
        <v>269</v>
      </c>
      <c r="D85" s="8" t="s">
        <v>88</v>
      </c>
      <c r="E85" s="8" t="s">
        <v>257</v>
      </c>
      <c r="F85" s="9">
        <v>0.9</v>
      </c>
      <c r="G85" s="10">
        <v>472940</v>
      </c>
      <c r="H85" s="10">
        <v>360000</v>
      </c>
      <c r="I85" s="2">
        <f t="shared" si="10"/>
        <v>3</v>
      </c>
      <c r="J85" s="2">
        <f t="shared" si="19"/>
        <v>6</v>
      </c>
      <c r="K85" s="2">
        <f t="shared" si="12"/>
        <v>6</v>
      </c>
      <c r="L85" t="b" cm="1">
        <f t="array" ref="L85">BoldFont(H85)</f>
        <v>1</v>
      </c>
      <c r="M85" t="str">
        <f t="shared" si="11"/>
        <v>Rata St SNP</v>
      </c>
      <c r="N85" t="str">
        <f t="shared" si="13"/>
        <v>Hawthorne Red Oaks IS SNP</v>
      </c>
      <c r="O85" t="str">
        <f t="shared" si="14"/>
        <v/>
      </c>
      <c r="P85" s="4">
        <f t="shared" si="15"/>
        <v>44592</v>
      </c>
      <c r="Q85" s="4">
        <f t="shared" si="16"/>
        <v>45268</v>
      </c>
      <c r="R85" s="5">
        <f t="shared" si="17"/>
        <v>472940</v>
      </c>
      <c r="S85" s="5">
        <f t="shared" si="18"/>
        <v>360000</v>
      </c>
    </row>
    <row r="86" spans="1:19" ht="30" x14ac:dyDescent="0.25">
      <c r="A86" s="7"/>
      <c r="B86" s="15" t="s">
        <v>111</v>
      </c>
      <c r="C86" s="11" t="s">
        <v>60</v>
      </c>
      <c r="D86" s="11" t="s">
        <v>88</v>
      </c>
      <c r="E86" s="11" t="s">
        <v>75</v>
      </c>
      <c r="F86" s="12">
        <v>1</v>
      </c>
      <c r="G86" s="14">
        <v>0</v>
      </c>
      <c r="H86" s="14">
        <v>14400</v>
      </c>
      <c r="I86" s="2">
        <f t="shared" si="10"/>
        <v>6</v>
      </c>
      <c r="J86" s="2">
        <f t="shared" si="19"/>
        <v>6</v>
      </c>
      <c r="K86" s="2">
        <f t="shared" si="12"/>
        <v>6</v>
      </c>
      <c r="L86" t="b" cm="1">
        <f t="array" ref="L86">BoldFont(H86)</f>
        <v>0</v>
      </c>
      <c r="M86" t="str">
        <f t="shared" si="11"/>
        <v>Rata St SNP</v>
      </c>
      <c r="N86" t="str">
        <f t="shared" si="13"/>
        <v>Rata St SNP</v>
      </c>
      <c r="O86" t="str">
        <f t="shared" si="14"/>
        <v>Concept Design including investigations and consultations where applicable</v>
      </c>
      <c r="P86" s="4">
        <f t="shared" si="15"/>
        <v>44592</v>
      </c>
      <c r="Q86" s="4">
        <f t="shared" si="16"/>
        <v>44659</v>
      </c>
      <c r="R86" s="5">
        <f t="shared" si="17"/>
        <v>0</v>
      </c>
      <c r="S86" s="5">
        <f t="shared" si="18"/>
        <v>14400</v>
      </c>
    </row>
    <row r="87" spans="1:19" ht="30" x14ac:dyDescent="0.25">
      <c r="A87" s="7"/>
      <c r="B87" s="15" t="s">
        <v>73</v>
      </c>
      <c r="C87" s="11" t="s">
        <v>112</v>
      </c>
      <c r="D87" s="11" t="s">
        <v>113</v>
      </c>
      <c r="E87" s="11" t="s">
        <v>114</v>
      </c>
      <c r="F87" s="12">
        <v>1</v>
      </c>
      <c r="G87" s="14">
        <v>27600</v>
      </c>
      <c r="H87" s="14">
        <v>21600</v>
      </c>
      <c r="I87" s="2">
        <f t="shared" si="10"/>
        <v>6</v>
      </c>
      <c r="J87" s="2">
        <f t="shared" si="19"/>
        <v>6</v>
      </c>
      <c r="K87" s="2">
        <f t="shared" si="12"/>
        <v>6</v>
      </c>
      <c r="L87" t="b" cm="1">
        <f t="array" ref="L87">BoldFont(H87)</f>
        <v>0</v>
      </c>
      <c r="M87" t="str">
        <f t="shared" si="11"/>
        <v>Rata St SNP</v>
      </c>
      <c r="N87" t="str">
        <f t="shared" si="13"/>
        <v>Rata St SNP</v>
      </c>
      <c r="O87" t="str">
        <f t="shared" si="14"/>
        <v>Detailed Design</v>
      </c>
      <c r="P87" s="4">
        <f t="shared" si="15"/>
        <v>44774</v>
      </c>
      <c r="Q87" s="4">
        <f t="shared" si="16"/>
        <v>44876</v>
      </c>
      <c r="R87" s="5">
        <f t="shared" si="17"/>
        <v>27600</v>
      </c>
      <c r="S87" s="5">
        <f t="shared" si="18"/>
        <v>21600</v>
      </c>
    </row>
    <row r="88" spans="1:19" ht="30" x14ac:dyDescent="0.25">
      <c r="A88" s="7"/>
      <c r="B88" s="11" t="s">
        <v>80</v>
      </c>
      <c r="C88" s="11" t="s">
        <v>203</v>
      </c>
      <c r="D88" s="11" t="s">
        <v>251</v>
      </c>
      <c r="E88" s="11" t="s">
        <v>257</v>
      </c>
      <c r="F88" s="12">
        <v>0.75</v>
      </c>
      <c r="G88" s="14">
        <v>16200</v>
      </c>
      <c r="H88" s="14">
        <v>0</v>
      </c>
      <c r="I88" s="2">
        <f t="shared" si="10"/>
        <v>6</v>
      </c>
      <c r="J88" s="2">
        <f t="shared" si="19"/>
        <v>6</v>
      </c>
      <c r="K88" s="2">
        <f t="shared" si="12"/>
        <v>6</v>
      </c>
      <c r="L88" t="b" cm="1">
        <f t="array" ref="L88">BoldFont(H88)</f>
        <v>0</v>
      </c>
      <c r="M88" t="str">
        <f t="shared" si="11"/>
        <v>Rata St SNP</v>
      </c>
      <c r="N88" t="str">
        <f t="shared" si="13"/>
        <v>Rata St SNP</v>
      </c>
      <c r="O88" t="str">
        <f t="shared" si="14"/>
        <v>MSQA</v>
      </c>
      <c r="P88" s="4">
        <f t="shared" si="15"/>
        <v>45208</v>
      </c>
      <c r="Q88" s="4">
        <f t="shared" si="16"/>
        <v>45268</v>
      </c>
      <c r="R88" s="5">
        <f t="shared" si="17"/>
        <v>16200</v>
      </c>
      <c r="S88" s="5">
        <f t="shared" si="18"/>
        <v>0</v>
      </c>
    </row>
    <row r="89" spans="1:19" ht="30" x14ac:dyDescent="0.25">
      <c r="A89" s="7"/>
      <c r="B89" s="15" t="s">
        <v>195</v>
      </c>
      <c r="C89" s="11" t="s">
        <v>203</v>
      </c>
      <c r="D89" s="11" t="s">
        <v>251</v>
      </c>
      <c r="E89" s="11" t="s">
        <v>257</v>
      </c>
      <c r="F89" s="12">
        <v>0.75</v>
      </c>
      <c r="G89" s="14">
        <v>429140</v>
      </c>
      <c r="H89" s="14">
        <v>324000</v>
      </c>
      <c r="I89" s="2">
        <f t="shared" si="10"/>
        <v>6</v>
      </c>
      <c r="J89" s="2">
        <f t="shared" si="19"/>
        <v>6</v>
      </c>
      <c r="K89" s="2">
        <f t="shared" si="12"/>
        <v>6</v>
      </c>
      <c r="L89" t="b" cm="1">
        <f t="array" ref="L89">BoldFont(H89)</f>
        <v>0</v>
      </c>
      <c r="M89" t="str">
        <f t="shared" si="11"/>
        <v>Rata St SNP</v>
      </c>
      <c r="N89" t="str">
        <f t="shared" si="13"/>
        <v>Rata St SNP</v>
      </c>
      <c r="O89" t="str">
        <f t="shared" si="14"/>
        <v>Construction</v>
      </c>
      <c r="P89" s="4">
        <f t="shared" si="15"/>
        <v>45208</v>
      </c>
      <c r="Q89" s="4">
        <f t="shared" si="16"/>
        <v>45268</v>
      </c>
      <c r="R89" s="5">
        <f t="shared" si="17"/>
        <v>429140</v>
      </c>
      <c r="S89" s="5">
        <f t="shared" si="18"/>
        <v>324000</v>
      </c>
    </row>
    <row r="90" spans="1:19" ht="30" hidden="1" x14ac:dyDescent="0.25">
      <c r="A90" s="8">
        <v>152525</v>
      </c>
      <c r="B90" s="8" t="s">
        <v>115</v>
      </c>
      <c r="C90" s="8" t="s">
        <v>116</v>
      </c>
      <c r="D90" s="8" t="s">
        <v>117</v>
      </c>
      <c r="E90" s="8" t="s">
        <v>117</v>
      </c>
      <c r="F90" s="9">
        <v>0</v>
      </c>
      <c r="G90" s="10">
        <v>0</v>
      </c>
      <c r="H90" s="10">
        <v>39375</v>
      </c>
      <c r="I90" s="2">
        <f t="shared" si="10"/>
        <v>3</v>
      </c>
      <c r="J90" s="2">
        <f t="shared" si="19"/>
        <v>7</v>
      </c>
      <c r="K90" s="2">
        <f t="shared" si="12"/>
        <v>6</v>
      </c>
      <c r="L90" t="b" cm="1">
        <f t="array" ref="L90">BoldFont(H90)</f>
        <v>1</v>
      </c>
      <c r="M90" t="str">
        <f t="shared" si="11"/>
        <v>Crown Range Minor Widening</v>
      </c>
      <c r="N90" t="str">
        <f t="shared" si="13"/>
        <v>Rata St SNP</v>
      </c>
      <c r="O90" t="str">
        <f t="shared" si="14"/>
        <v/>
      </c>
      <c r="P90" s="4">
        <f t="shared" si="15"/>
        <v>44593</v>
      </c>
      <c r="Q90" s="4">
        <f t="shared" si="16"/>
        <v>44593</v>
      </c>
      <c r="R90" s="5">
        <f t="shared" si="17"/>
        <v>0</v>
      </c>
      <c r="S90" s="5">
        <f t="shared" si="18"/>
        <v>39375</v>
      </c>
    </row>
    <row r="91" spans="1:19" ht="30" x14ac:dyDescent="0.25">
      <c r="A91" s="7"/>
      <c r="B91" s="15" t="s">
        <v>111</v>
      </c>
      <c r="C91" s="11" t="s">
        <v>116</v>
      </c>
      <c r="D91" s="11" t="s">
        <v>117</v>
      </c>
      <c r="E91" s="11" t="s">
        <v>117</v>
      </c>
      <c r="F91" s="12">
        <v>0</v>
      </c>
      <c r="G91" s="14">
        <v>0</v>
      </c>
      <c r="H91" s="14">
        <v>1575</v>
      </c>
      <c r="I91" s="2">
        <f t="shared" si="10"/>
        <v>6</v>
      </c>
      <c r="J91" s="2">
        <f t="shared" si="19"/>
        <v>7</v>
      </c>
      <c r="K91" s="2">
        <f t="shared" si="12"/>
        <v>6</v>
      </c>
      <c r="L91" t="b" cm="1">
        <f t="array" ref="L91">BoldFont(H91)</f>
        <v>0</v>
      </c>
      <c r="M91" t="str">
        <f t="shared" si="11"/>
        <v>Crown Range Minor Widening</v>
      </c>
      <c r="N91" t="str">
        <f t="shared" si="13"/>
        <v>Crown Range Minor Widening</v>
      </c>
      <c r="O91" t="str">
        <f t="shared" si="14"/>
        <v>Concept Design including investigations and consultations where applicable</v>
      </c>
      <c r="P91" s="4">
        <f t="shared" si="15"/>
        <v>44593</v>
      </c>
      <c r="Q91" s="4">
        <f t="shared" si="16"/>
        <v>44593</v>
      </c>
      <c r="R91" s="5">
        <f t="shared" si="17"/>
        <v>0</v>
      </c>
      <c r="S91" s="5">
        <f t="shared" si="18"/>
        <v>1575</v>
      </c>
    </row>
    <row r="92" spans="1:19" ht="30" x14ac:dyDescent="0.25">
      <c r="A92" s="7"/>
      <c r="B92" s="15" t="s">
        <v>73</v>
      </c>
      <c r="C92" s="11" t="s">
        <v>116</v>
      </c>
      <c r="D92" s="11" t="s">
        <v>117</v>
      </c>
      <c r="E92" s="11" t="s">
        <v>117</v>
      </c>
      <c r="F92" s="12">
        <v>0</v>
      </c>
      <c r="G92" s="14">
        <v>0</v>
      </c>
      <c r="H92" s="14">
        <v>2362.5</v>
      </c>
      <c r="I92" s="2">
        <f t="shared" si="10"/>
        <v>6</v>
      </c>
      <c r="J92" s="2">
        <f t="shared" si="19"/>
        <v>7</v>
      </c>
      <c r="K92" s="2">
        <f t="shared" si="12"/>
        <v>6</v>
      </c>
      <c r="L92" t="b" cm="1">
        <f t="array" ref="L92">BoldFont(H92)</f>
        <v>0</v>
      </c>
      <c r="M92" t="str">
        <f t="shared" si="11"/>
        <v>Crown Range Minor Widening</v>
      </c>
      <c r="N92" t="str">
        <f t="shared" si="13"/>
        <v>Crown Range Minor Widening</v>
      </c>
      <c r="O92" t="str">
        <f t="shared" si="14"/>
        <v>Detailed Design</v>
      </c>
      <c r="P92" s="4">
        <f t="shared" si="15"/>
        <v>44593</v>
      </c>
      <c r="Q92" s="4">
        <f t="shared" si="16"/>
        <v>44593</v>
      </c>
      <c r="R92" s="5">
        <f t="shared" si="17"/>
        <v>0</v>
      </c>
      <c r="S92" s="5">
        <f t="shared" si="18"/>
        <v>2362.5</v>
      </c>
    </row>
    <row r="93" spans="1:19" ht="30" x14ac:dyDescent="0.25">
      <c r="A93" s="7"/>
      <c r="B93" s="16" t="s">
        <v>118</v>
      </c>
      <c r="C93" s="11" t="s">
        <v>116</v>
      </c>
      <c r="D93" s="11" t="s">
        <v>119</v>
      </c>
      <c r="E93" s="11" t="s">
        <v>119</v>
      </c>
      <c r="F93" s="12">
        <v>0</v>
      </c>
      <c r="G93" s="14">
        <v>0</v>
      </c>
      <c r="H93" s="14">
        <v>35437.5</v>
      </c>
      <c r="I93" s="2">
        <f t="shared" si="10"/>
        <v>6</v>
      </c>
      <c r="J93" s="2">
        <f t="shared" si="19"/>
        <v>7</v>
      </c>
      <c r="K93" s="2">
        <f t="shared" si="12"/>
        <v>6</v>
      </c>
      <c r="L93" t="b" cm="1">
        <f t="array" ref="L93">BoldFont(H93)</f>
        <v>0</v>
      </c>
      <c r="M93" t="str">
        <f t="shared" si="11"/>
        <v>Crown Range Minor Widening</v>
      </c>
      <c r="N93" t="str">
        <f t="shared" si="13"/>
        <v>Crown Range Minor Widening</v>
      </c>
      <c r="O93" t="str">
        <f t="shared" si="14"/>
        <v>Construction - Maintenance</v>
      </c>
      <c r="P93" s="4">
        <f t="shared" si="15"/>
        <v>44620</v>
      </c>
      <c r="Q93" s="4">
        <f t="shared" si="16"/>
        <v>44620</v>
      </c>
      <c r="R93" s="5">
        <f t="shared" si="17"/>
        <v>0</v>
      </c>
      <c r="S93" s="5">
        <f t="shared" si="18"/>
        <v>35437.5</v>
      </c>
    </row>
    <row r="94" spans="1:19" ht="30" x14ac:dyDescent="0.25">
      <c r="A94" s="7"/>
      <c r="B94" s="11" t="s">
        <v>80</v>
      </c>
      <c r="C94" s="11" t="s">
        <v>116</v>
      </c>
      <c r="D94" s="11" t="s">
        <v>120</v>
      </c>
      <c r="E94" s="11" t="s">
        <v>120</v>
      </c>
      <c r="F94" s="12">
        <v>0</v>
      </c>
      <c r="G94" s="14">
        <v>0</v>
      </c>
      <c r="H94" s="14">
        <v>0</v>
      </c>
      <c r="I94" s="2">
        <f t="shared" si="10"/>
        <v>6</v>
      </c>
      <c r="J94" s="2">
        <f t="shared" si="19"/>
        <v>7</v>
      </c>
      <c r="K94" s="2">
        <f t="shared" si="12"/>
        <v>6</v>
      </c>
      <c r="L94" t="b" cm="1">
        <f t="array" ref="L94">BoldFont(H94)</f>
        <v>0</v>
      </c>
      <c r="M94" t="str">
        <f t="shared" si="11"/>
        <v>Crown Range Minor Widening</v>
      </c>
      <c r="N94" t="str">
        <f t="shared" si="13"/>
        <v>Crown Range Minor Widening</v>
      </c>
      <c r="O94" t="str">
        <f t="shared" si="14"/>
        <v>MSQA</v>
      </c>
      <c r="P94" s="4">
        <f t="shared" si="15"/>
        <v>44677</v>
      </c>
      <c r="Q94" s="4">
        <f t="shared" si="16"/>
        <v>44677</v>
      </c>
      <c r="R94" s="5">
        <f t="shared" si="17"/>
        <v>0</v>
      </c>
      <c r="S94" s="5">
        <f t="shared" si="18"/>
        <v>0</v>
      </c>
    </row>
    <row r="95" spans="1:19" ht="30" hidden="1" x14ac:dyDescent="0.25">
      <c r="A95" s="8">
        <v>152532</v>
      </c>
      <c r="B95" s="8" t="s">
        <v>121</v>
      </c>
      <c r="C95" s="8" t="s">
        <v>246</v>
      </c>
      <c r="D95" s="8" t="s">
        <v>117</v>
      </c>
      <c r="E95" s="8" t="s">
        <v>247</v>
      </c>
      <c r="F95" s="9">
        <v>0.46</v>
      </c>
      <c r="G95" s="10">
        <v>176400</v>
      </c>
      <c r="H95" s="10">
        <v>300000</v>
      </c>
      <c r="I95" s="2">
        <f t="shared" si="10"/>
        <v>3</v>
      </c>
      <c r="J95" s="2">
        <f t="shared" si="19"/>
        <v>8</v>
      </c>
      <c r="K95" s="2">
        <f t="shared" si="12"/>
        <v>6</v>
      </c>
      <c r="L95" t="b" cm="1">
        <f t="array" ref="L95">BoldFont(H95)</f>
        <v>1</v>
      </c>
      <c r="M95" t="str">
        <f t="shared" si="11"/>
        <v>Golf Course Ballantyne IS SNP Stage 2</v>
      </c>
      <c r="N95" t="str">
        <f t="shared" si="13"/>
        <v>Crown Range Minor Widening</v>
      </c>
      <c r="O95" t="str">
        <f t="shared" si="14"/>
        <v/>
      </c>
      <c r="P95" s="4">
        <f t="shared" si="15"/>
        <v>44593</v>
      </c>
      <c r="Q95" s="4">
        <f t="shared" si="16"/>
        <v>45450</v>
      </c>
      <c r="R95" s="5">
        <f t="shared" si="17"/>
        <v>176400</v>
      </c>
      <c r="S95" s="5">
        <f t="shared" si="18"/>
        <v>300000</v>
      </c>
    </row>
    <row r="96" spans="1:19" ht="30" x14ac:dyDescent="0.25">
      <c r="A96" s="7"/>
      <c r="B96" s="15" t="s">
        <v>111</v>
      </c>
      <c r="C96" s="11" t="s">
        <v>123</v>
      </c>
      <c r="D96" s="11" t="s">
        <v>117</v>
      </c>
      <c r="E96" s="11" t="s">
        <v>124</v>
      </c>
      <c r="F96" s="12">
        <v>1</v>
      </c>
      <c r="G96" s="14">
        <v>72300</v>
      </c>
      <c r="H96" s="14">
        <v>12000</v>
      </c>
      <c r="I96" s="2">
        <f t="shared" si="10"/>
        <v>6</v>
      </c>
      <c r="J96" s="2">
        <f t="shared" si="19"/>
        <v>8</v>
      </c>
      <c r="K96" s="2">
        <f t="shared" si="12"/>
        <v>6</v>
      </c>
      <c r="L96" t="b" cm="1">
        <f t="array" ref="L96">BoldFont(H96)</f>
        <v>0</v>
      </c>
      <c r="M96" t="str">
        <f t="shared" si="11"/>
        <v>Golf Course Ballantyne IS SNP Stage 2</v>
      </c>
      <c r="N96" t="str">
        <f t="shared" si="13"/>
        <v>Golf Course Ballantyne IS SNP Stage 2</v>
      </c>
      <c r="O96" t="str">
        <f t="shared" si="14"/>
        <v>Concept Design including investigations and consultations where applicable</v>
      </c>
      <c r="P96" s="4">
        <f t="shared" si="15"/>
        <v>44593</v>
      </c>
      <c r="Q96" s="4">
        <f t="shared" si="16"/>
        <v>44757</v>
      </c>
      <c r="R96" s="5">
        <f t="shared" si="17"/>
        <v>72300</v>
      </c>
      <c r="S96" s="5">
        <f t="shared" si="18"/>
        <v>12000</v>
      </c>
    </row>
    <row r="97" spans="1:19" ht="30" x14ac:dyDescent="0.25">
      <c r="A97" s="7"/>
      <c r="B97" s="15" t="s">
        <v>73</v>
      </c>
      <c r="C97" s="11" t="s">
        <v>248</v>
      </c>
      <c r="D97" s="11" t="s">
        <v>205</v>
      </c>
      <c r="E97" s="11" t="s">
        <v>102</v>
      </c>
      <c r="F97" s="12">
        <v>0.8</v>
      </c>
      <c r="G97" s="14">
        <v>104100</v>
      </c>
      <c r="H97" s="14">
        <v>18000</v>
      </c>
      <c r="I97" s="2">
        <f t="shared" si="10"/>
        <v>6</v>
      </c>
      <c r="J97" s="2">
        <f t="shared" si="19"/>
        <v>8</v>
      </c>
      <c r="K97" s="2">
        <f t="shared" si="12"/>
        <v>6</v>
      </c>
      <c r="L97" t="b" cm="1">
        <f t="array" ref="L97">BoldFont(H97)</f>
        <v>0</v>
      </c>
      <c r="M97" t="str">
        <f t="shared" si="11"/>
        <v>Golf Course Ballantyne IS SNP Stage 2</v>
      </c>
      <c r="N97" t="str">
        <f t="shared" si="13"/>
        <v>Golf Course Ballantyne IS SNP Stage 2</v>
      </c>
      <c r="O97" t="str">
        <f t="shared" si="14"/>
        <v>Detailed Design</v>
      </c>
      <c r="P97" s="4">
        <f t="shared" si="15"/>
        <v>44837</v>
      </c>
      <c r="Q97" s="4">
        <f t="shared" si="16"/>
        <v>45184</v>
      </c>
      <c r="R97" s="5">
        <f t="shared" si="17"/>
        <v>104100</v>
      </c>
      <c r="S97" s="5">
        <f t="shared" si="18"/>
        <v>18000</v>
      </c>
    </row>
    <row r="98" spans="1:19" ht="30" x14ac:dyDescent="0.25">
      <c r="A98" s="7"/>
      <c r="B98" s="11" t="s">
        <v>197</v>
      </c>
      <c r="C98" s="11" t="s">
        <v>60</v>
      </c>
      <c r="D98" s="11" t="s">
        <v>215</v>
      </c>
      <c r="E98" s="11" t="s">
        <v>158</v>
      </c>
      <c r="F98" s="12">
        <v>0</v>
      </c>
      <c r="G98" s="14">
        <v>0</v>
      </c>
      <c r="H98" s="14">
        <v>0</v>
      </c>
      <c r="I98" s="2">
        <f t="shared" si="10"/>
        <v>6</v>
      </c>
      <c r="J98" s="2">
        <f t="shared" si="19"/>
        <v>8</v>
      </c>
      <c r="K98" s="2">
        <f t="shared" si="12"/>
        <v>6</v>
      </c>
      <c r="L98" t="b" cm="1">
        <f t="array" ref="L98">BoldFont(H98)</f>
        <v>0</v>
      </c>
      <c r="M98" t="str">
        <f t="shared" si="11"/>
        <v>Golf Course Ballantyne IS SNP Stage 2</v>
      </c>
      <c r="N98" t="str">
        <f t="shared" si="13"/>
        <v>Golf Course Ballantyne IS SNP Stage 2</v>
      </c>
      <c r="O98" t="str">
        <f t="shared" si="14"/>
        <v>Tender</v>
      </c>
      <c r="P98" s="4">
        <f t="shared" si="15"/>
        <v>45187</v>
      </c>
      <c r="Q98" s="4">
        <f t="shared" si="16"/>
        <v>45254</v>
      </c>
      <c r="R98" s="5">
        <f t="shared" si="17"/>
        <v>0</v>
      </c>
      <c r="S98" s="5">
        <f t="shared" si="18"/>
        <v>0</v>
      </c>
    </row>
    <row r="99" spans="1:19" ht="30" x14ac:dyDescent="0.25">
      <c r="A99" s="7"/>
      <c r="B99" s="11" t="s">
        <v>80</v>
      </c>
      <c r="C99" s="11" t="s">
        <v>140</v>
      </c>
      <c r="D99" s="11" t="s">
        <v>249</v>
      </c>
      <c r="E99" s="11" t="s">
        <v>247</v>
      </c>
      <c r="F99" s="12">
        <v>0</v>
      </c>
      <c r="G99" s="14">
        <v>0</v>
      </c>
      <c r="H99" s="14">
        <v>0</v>
      </c>
      <c r="I99" s="2">
        <f t="shared" si="10"/>
        <v>6</v>
      </c>
      <c r="J99" s="2">
        <f t="shared" si="19"/>
        <v>8</v>
      </c>
      <c r="K99" s="2">
        <f t="shared" si="12"/>
        <v>6</v>
      </c>
      <c r="L99" t="b" cm="1">
        <f t="array" ref="L99">BoldFont(H99)</f>
        <v>0</v>
      </c>
      <c r="M99" t="str">
        <f t="shared" si="11"/>
        <v>Golf Course Ballantyne IS SNP Stage 2</v>
      </c>
      <c r="N99" t="str">
        <f t="shared" si="13"/>
        <v>Golf Course Ballantyne IS SNP Stage 2</v>
      </c>
      <c r="O99" t="str">
        <f t="shared" si="14"/>
        <v>MSQA</v>
      </c>
      <c r="P99" s="4">
        <f t="shared" si="15"/>
        <v>45257</v>
      </c>
      <c r="Q99" s="4">
        <f t="shared" si="16"/>
        <v>45450</v>
      </c>
      <c r="R99" s="5">
        <f t="shared" si="17"/>
        <v>0</v>
      </c>
      <c r="S99" s="5">
        <f t="shared" si="18"/>
        <v>0</v>
      </c>
    </row>
    <row r="100" spans="1:19" ht="30" x14ac:dyDescent="0.25">
      <c r="A100" s="7"/>
      <c r="B100" s="15" t="s">
        <v>195</v>
      </c>
      <c r="C100" s="11" t="s">
        <v>140</v>
      </c>
      <c r="D100" s="11" t="s">
        <v>249</v>
      </c>
      <c r="E100" s="11" t="s">
        <v>247</v>
      </c>
      <c r="F100" s="12">
        <v>0</v>
      </c>
      <c r="G100" s="14">
        <v>0</v>
      </c>
      <c r="H100" s="14">
        <v>270000</v>
      </c>
      <c r="I100" s="2">
        <f t="shared" si="10"/>
        <v>6</v>
      </c>
      <c r="J100" s="2">
        <f t="shared" si="19"/>
        <v>8</v>
      </c>
      <c r="K100" s="2">
        <f t="shared" si="12"/>
        <v>6</v>
      </c>
      <c r="L100" t="b" cm="1">
        <f t="array" ref="L100">BoldFont(H100)</f>
        <v>0</v>
      </c>
      <c r="M100" t="str">
        <f t="shared" si="11"/>
        <v>Golf Course Ballantyne IS SNP Stage 2</v>
      </c>
      <c r="N100" t="str">
        <f t="shared" si="13"/>
        <v>Golf Course Ballantyne IS SNP Stage 2</v>
      </c>
      <c r="O100" t="str">
        <f t="shared" si="14"/>
        <v>Construction</v>
      </c>
      <c r="P100" s="4">
        <f t="shared" si="15"/>
        <v>45257</v>
      </c>
      <c r="Q100" s="4">
        <f t="shared" si="16"/>
        <v>45450</v>
      </c>
      <c r="R100" s="5">
        <f t="shared" si="17"/>
        <v>0</v>
      </c>
      <c r="S100" s="5">
        <f t="shared" si="18"/>
        <v>270000</v>
      </c>
    </row>
    <row r="101" spans="1:19" ht="30" hidden="1" x14ac:dyDescent="0.25">
      <c r="A101" s="8">
        <v>152539</v>
      </c>
      <c r="B101" s="8" t="s">
        <v>125</v>
      </c>
      <c r="C101" s="8" t="s">
        <v>116</v>
      </c>
      <c r="D101" s="8" t="s">
        <v>117</v>
      </c>
      <c r="E101" s="8" t="s">
        <v>117</v>
      </c>
      <c r="F101" s="9">
        <v>0</v>
      </c>
      <c r="G101" s="10">
        <v>0</v>
      </c>
      <c r="H101" s="10">
        <v>28000</v>
      </c>
      <c r="I101" s="2">
        <f t="shared" si="10"/>
        <v>3</v>
      </c>
      <c r="J101" s="2">
        <f t="shared" si="19"/>
        <v>9</v>
      </c>
      <c r="K101" s="2">
        <f t="shared" si="12"/>
        <v>6</v>
      </c>
      <c r="L101" t="b" cm="1">
        <f t="array" ref="L101">BoldFont(H101)</f>
        <v>1</v>
      </c>
      <c r="M101" t="str">
        <f t="shared" si="11"/>
        <v>Wanaka Maintenance '21</v>
      </c>
      <c r="N101" t="str">
        <f t="shared" si="13"/>
        <v>Golf Course Ballantyne IS SNP Stage 2</v>
      </c>
      <c r="O101" t="str">
        <f t="shared" si="14"/>
        <v/>
      </c>
      <c r="P101" s="4">
        <f t="shared" si="15"/>
        <v>44593</v>
      </c>
      <c r="Q101" s="4">
        <f t="shared" si="16"/>
        <v>44593</v>
      </c>
      <c r="R101" s="5">
        <f t="shared" si="17"/>
        <v>0</v>
      </c>
      <c r="S101" s="5">
        <f t="shared" si="18"/>
        <v>28000</v>
      </c>
    </row>
    <row r="102" spans="1:19" ht="30" x14ac:dyDescent="0.25">
      <c r="A102" s="7"/>
      <c r="B102" s="15" t="s">
        <v>111</v>
      </c>
      <c r="C102" s="11" t="s">
        <v>116</v>
      </c>
      <c r="D102" s="11" t="s">
        <v>117</v>
      </c>
      <c r="E102" s="11" t="s">
        <v>117</v>
      </c>
      <c r="F102" s="12">
        <v>0</v>
      </c>
      <c r="G102" s="14">
        <v>0</v>
      </c>
      <c r="H102" s="14">
        <v>12000</v>
      </c>
      <c r="I102" s="2">
        <f t="shared" si="10"/>
        <v>6</v>
      </c>
      <c r="J102" s="2">
        <f t="shared" si="19"/>
        <v>9</v>
      </c>
      <c r="K102" s="2">
        <f t="shared" si="12"/>
        <v>6</v>
      </c>
      <c r="L102" t="b" cm="1">
        <f t="array" ref="L102">BoldFont(H102)</f>
        <v>0</v>
      </c>
      <c r="M102" t="str">
        <f t="shared" si="11"/>
        <v>Wanaka Maintenance '21</v>
      </c>
      <c r="N102" t="str">
        <f t="shared" si="13"/>
        <v>Wanaka Maintenance '21</v>
      </c>
      <c r="O102" t="str">
        <f t="shared" si="14"/>
        <v>Concept Design including investigations and consultations where applicable</v>
      </c>
      <c r="P102" s="4">
        <f t="shared" si="15"/>
        <v>44593</v>
      </c>
      <c r="Q102" s="4">
        <f t="shared" si="16"/>
        <v>44593</v>
      </c>
      <c r="R102" s="5">
        <f t="shared" si="17"/>
        <v>0</v>
      </c>
      <c r="S102" s="5">
        <f t="shared" si="18"/>
        <v>12000</v>
      </c>
    </row>
    <row r="103" spans="1:19" ht="30" x14ac:dyDescent="0.25">
      <c r="A103" s="7"/>
      <c r="B103" s="15" t="s">
        <v>73</v>
      </c>
      <c r="C103" s="11" t="s">
        <v>116</v>
      </c>
      <c r="D103" s="11" t="s">
        <v>117</v>
      </c>
      <c r="E103" s="11" t="s">
        <v>117</v>
      </c>
      <c r="F103" s="12">
        <v>0</v>
      </c>
      <c r="G103" s="14">
        <v>0</v>
      </c>
      <c r="H103" s="14">
        <v>1680</v>
      </c>
      <c r="I103" s="2">
        <f t="shared" si="10"/>
        <v>6</v>
      </c>
      <c r="J103" s="2">
        <f t="shared" si="19"/>
        <v>9</v>
      </c>
      <c r="K103" s="2">
        <f t="shared" si="12"/>
        <v>6</v>
      </c>
      <c r="L103" t="b" cm="1">
        <f t="array" ref="L103">BoldFont(H103)</f>
        <v>0</v>
      </c>
      <c r="M103" t="str">
        <f t="shared" si="11"/>
        <v>Wanaka Maintenance '21</v>
      </c>
      <c r="N103" t="str">
        <f t="shared" si="13"/>
        <v>Wanaka Maintenance '21</v>
      </c>
      <c r="O103" t="str">
        <f t="shared" si="14"/>
        <v>Detailed Design</v>
      </c>
      <c r="P103" s="4">
        <f t="shared" si="15"/>
        <v>44593</v>
      </c>
      <c r="Q103" s="4">
        <f t="shared" si="16"/>
        <v>44593</v>
      </c>
      <c r="R103" s="5">
        <f t="shared" si="17"/>
        <v>0</v>
      </c>
      <c r="S103" s="5">
        <f t="shared" si="18"/>
        <v>1680</v>
      </c>
    </row>
    <row r="104" spans="1:19" ht="30" x14ac:dyDescent="0.25">
      <c r="A104" s="7"/>
      <c r="B104" s="16" t="s">
        <v>118</v>
      </c>
      <c r="C104" s="11" t="s">
        <v>116</v>
      </c>
      <c r="D104" s="11" t="s">
        <v>117</v>
      </c>
      <c r="E104" s="11" t="s">
        <v>117</v>
      </c>
      <c r="F104" s="12">
        <v>0</v>
      </c>
      <c r="G104" s="14">
        <v>0</v>
      </c>
      <c r="H104" s="14">
        <v>14320</v>
      </c>
      <c r="I104" s="2">
        <f t="shared" si="10"/>
        <v>6</v>
      </c>
      <c r="J104" s="2">
        <f t="shared" si="19"/>
        <v>9</v>
      </c>
      <c r="K104" s="2">
        <f t="shared" si="12"/>
        <v>6</v>
      </c>
      <c r="L104" t="b" cm="1">
        <f t="array" ref="L104">BoldFont(H104)</f>
        <v>0</v>
      </c>
      <c r="M104" t="str">
        <f t="shared" si="11"/>
        <v>Wanaka Maintenance '21</v>
      </c>
      <c r="N104" t="str">
        <f t="shared" si="13"/>
        <v>Wanaka Maintenance '21</v>
      </c>
      <c r="O104" t="str">
        <f t="shared" si="14"/>
        <v>Construction - Maintenance</v>
      </c>
      <c r="P104" s="4">
        <f t="shared" si="15"/>
        <v>44593</v>
      </c>
      <c r="Q104" s="4">
        <f t="shared" si="16"/>
        <v>44593</v>
      </c>
      <c r="R104" s="5">
        <f t="shared" si="17"/>
        <v>0</v>
      </c>
      <c r="S104" s="5">
        <f t="shared" si="18"/>
        <v>14320</v>
      </c>
    </row>
    <row r="105" spans="1:19" ht="30" x14ac:dyDescent="0.25">
      <c r="A105" s="7"/>
      <c r="B105" s="11" t="s">
        <v>80</v>
      </c>
      <c r="C105" s="11" t="s">
        <v>116</v>
      </c>
      <c r="D105" s="11" t="s">
        <v>126</v>
      </c>
      <c r="E105" s="11" t="s">
        <v>126</v>
      </c>
      <c r="F105" s="12">
        <v>0</v>
      </c>
      <c r="G105" s="14">
        <v>0</v>
      </c>
      <c r="H105" s="14">
        <v>0</v>
      </c>
      <c r="I105" s="2">
        <f t="shared" si="10"/>
        <v>6</v>
      </c>
      <c r="J105" s="2">
        <f t="shared" si="19"/>
        <v>9</v>
      </c>
      <c r="K105" s="2">
        <f t="shared" si="12"/>
        <v>6</v>
      </c>
      <c r="L105" t="b" cm="1">
        <f t="array" ref="L105">BoldFont(H105)</f>
        <v>0</v>
      </c>
      <c r="M105" t="str">
        <f t="shared" si="11"/>
        <v>Wanaka Maintenance '21</v>
      </c>
      <c r="N105" t="str">
        <f t="shared" si="13"/>
        <v>Wanaka Maintenance '21</v>
      </c>
      <c r="O105" t="str">
        <f t="shared" si="14"/>
        <v>MSQA</v>
      </c>
      <c r="P105" s="4">
        <f t="shared" si="15"/>
        <v>44635</v>
      </c>
      <c r="Q105" s="4">
        <f t="shared" si="16"/>
        <v>44635</v>
      </c>
      <c r="R105" s="5">
        <f t="shared" si="17"/>
        <v>0</v>
      </c>
      <c r="S105" s="5">
        <f t="shared" si="18"/>
        <v>0</v>
      </c>
    </row>
    <row r="106" spans="1:19" ht="30" hidden="1" x14ac:dyDescent="0.25">
      <c r="A106" s="8">
        <v>152550</v>
      </c>
      <c r="B106" s="8" t="s">
        <v>127</v>
      </c>
      <c r="C106" s="8" t="s">
        <v>270</v>
      </c>
      <c r="D106" s="8" t="s">
        <v>128</v>
      </c>
      <c r="E106" s="8" t="s">
        <v>271</v>
      </c>
      <c r="F106" s="9">
        <v>0.86</v>
      </c>
      <c r="G106" s="10">
        <v>904271</v>
      </c>
      <c r="H106" s="10">
        <v>807100</v>
      </c>
      <c r="I106" s="2">
        <f t="shared" si="10"/>
        <v>3</v>
      </c>
      <c r="J106" s="2">
        <f t="shared" si="19"/>
        <v>10</v>
      </c>
      <c r="K106" s="2">
        <f t="shared" si="12"/>
        <v>6</v>
      </c>
      <c r="L106" t="b" cm="1">
        <f t="array" ref="L106">BoldFont(H106)</f>
        <v>1</v>
      </c>
      <c r="M106" t="str">
        <f t="shared" si="11"/>
        <v>Mt Aspiring Corridor Safety Improvements</v>
      </c>
      <c r="N106" t="str">
        <f t="shared" si="13"/>
        <v>Wanaka Maintenance '21</v>
      </c>
      <c r="O106" t="str">
        <f t="shared" si="14"/>
        <v/>
      </c>
      <c r="P106" s="4">
        <f t="shared" si="15"/>
        <v>44621</v>
      </c>
      <c r="Q106" s="4">
        <f t="shared" si="16"/>
        <v>45266</v>
      </c>
      <c r="R106" s="5">
        <f t="shared" si="17"/>
        <v>904271</v>
      </c>
      <c r="S106" s="5">
        <f t="shared" si="18"/>
        <v>807100</v>
      </c>
    </row>
    <row r="107" spans="1:19" ht="30" x14ac:dyDescent="0.25">
      <c r="A107" s="7"/>
      <c r="B107" s="15" t="s">
        <v>111</v>
      </c>
      <c r="C107" s="11" t="s">
        <v>129</v>
      </c>
      <c r="D107" s="11" t="s">
        <v>128</v>
      </c>
      <c r="E107" s="11" t="s">
        <v>130</v>
      </c>
      <c r="F107" s="12">
        <v>1</v>
      </c>
      <c r="G107" s="14">
        <v>25160</v>
      </c>
      <c r="H107" s="14">
        <v>12000</v>
      </c>
      <c r="I107" s="2">
        <f t="shared" si="10"/>
        <v>6</v>
      </c>
      <c r="J107" s="2">
        <f t="shared" si="19"/>
        <v>10</v>
      </c>
      <c r="K107" s="2">
        <f t="shared" si="12"/>
        <v>6</v>
      </c>
      <c r="L107" t="b" cm="1">
        <f t="array" ref="L107">BoldFont(H107)</f>
        <v>0</v>
      </c>
      <c r="M107" t="str">
        <f t="shared" si="11"/>
        <v>Mt Aspiring Corridor Safety Improvements</v>
      </c>
      <c r="N107" t="str">
        <f t="shared" si="13"/>
        <v>Mt Aspiring Corridor Safety Improvements</v>
      </c>
      <c r="O107" t="str">
        <f t="shared" si="14"/>
        <v>Concept Design including investigations and consultations where applicable</v>
      </c>
      <c r="P107" s="4">
        <f t="shared" si="15"/>
        <v>44621</v>
      </c>
      <c r="Q107" s="4">
        <f t="shared" si="16"/>
        <v>44754</v>
      </c>
      <c r="R107" s="5">
        <f t="shared" si="17"/>
        <v>25160</v>
      </c>
      <c r="S107" s="5">
        <f t="shared" si="18"/>
        <v>12000</v>
      </c>
    </row>
    <row r="108" spans="1:19" ht="30" x14ac:dyDescent="0.25">
      <c r="A108" s="7"/>
      <c r="B108" s="15" t="s">
        <v>73</v>
      </c>
      <c r="C108" s="11" t="s">
        <v>54</v>
      </c>
      <c r="D108" s="11" t="s">
        <v>206</v>
      </c>
      <c r="E108" s="11" t="s">
        <v>207</v>
      </c>
      <c r="F108" s="12">
        <v>1</v>
      </c>
      <c r="G108" s="14">
        <v>28100</v>
      </c>
      <c r="H108" s="14">
        <v>48426</v>
      </c>
      <c r="I108" s="2">
        <f t="shared" si="10"/>
        <v>6</v>
      </c>
      <c r="J108" s="2">
        <f t="shared" si="19"/>
        <v>10</v>
      </c>
      <c r="K108" s="2">
        <f t="shared" si="12"/>
        <v>6</v>
      </c>
      <c r="L108" t="b" cm="1">
        <f t="array" ref="L108">BoldFont(H108)</f>
        <v>0</v>
      </c>
      <c r="M108" t="str">
        <f t="shared" si="11"/>
        <v>Mt Aspiring Corridor Safety Improvements</v>
      </c>
      <c r="N108" t="str">
        <f t="shared" si="13"/>
        <v>Mt Aspiring Corridor Safety Improvements</v>
      </c>
      <c r="O108" t="str">
        <f t="shared" si="14"/>
        <v>Detailed Design</v>
      </c>
      <c r="P108" s="4">
        <f t="shared" si="15"/>
        <v>44935</v>
      </c>
      <c r="Q108" s="4">
        <f t="shared" si="16"/>
        <v>45016</v>
      </c>
      <c r="R108" s="5">
        <f t="shared" si="17"/>
        <v>28100</v>
      </c>
      <c r="S108" s="5">
        <f t="shared" si="18"/>
        <v>48426</v>
      </c>
    </row>
    <row r="109" spans="1:19" ht="30" x14ac:dyDescent="0.25">
      <c r="A109" s="7"/>
      <c r="B109" s="15" t="s">
        <v>76</v>
      </c>
      <c r="C109" s="11" t="s">
        <v>37</v>
      </c>
      <c r="D109" s="11" t="s">
        <v>143</v>
      </c>
      <c r="E109" s="11" t="s">
        <v>208</v>
      </c>
      <c r="F109" s="12">
        <v>1</v>
      </c>
      <c r="G109" s="14">
        <v>0</v>
      </c>
      <c r="H109" s="14">
        <v>0</v>
      </c>
      <c r="I109" s="2">
        <f t="shared" si="10"/>
        <v>6</v>
      </c>
      <c r="J109" s="2">
        <f t="shared" si="19"/>
        <v>10</v>
      </c>
      <c r="K109" s="2">
        <f t="shared" si="12"/>
        <v>6</v>
      </c>
      <c r="L109" t="b" cm="1">
        <f t="array" ref="L109">BoldFont(H109)</f>
        <v>0</v>
      </c>
      <c r="M109" t="str">
        <f t="shared" si="11"/>
        <v>Mt Aspiring Corridor Safety Improvements</v>
      </c>
      <c r="N109" t="str">
        <f t="shared" si="13"/>
        <v>Mt Aspiring Corridor Safety Improvements</v>
      </c>
      <c r="O109" t="str">
        <f t="shared" si="14"/>
        <v>Tender</v>
      </c>
      <c r="P109" s="4">
        <f t="shared" si="15"/>
        <v>45040</v>
      </c>
      <c r="Q109" s="4">
        <f t="shared" si="16"/>
        <v>45079</v>
      </c>
      <c r="R109" s="5">
        <f t="shared" si="17"/>
        <v>0</v>
      </c>
      <c r="S109" s="5">
        <f t="shared" si="18"/>
        <v>0</v>
      </c>
    </row>
    <row r="110" spans="1:19" ht="30" x14ac:dyDescent="0.25">
      <c r="A110" s="7"/>
      <c r="B110" s="11" t="s">
        <v>80</v>
      </c>
      <c r="C110" s="11" t="s">
        <v>93</v>
      </c>
      <c r="D110" s="11" t="s">
        <v>250</v>
      </c>
      <c r="E110" s="11" t="s">
        <v>271</v>
      </c>
      <c r="F110" s="12">
        <v>0.75</v>
      </c>
      <c r="G110" s="14">
        <v>31800</v>
      </c>
      <c r="H110" s="14">
        <v>0</v>
      </c>
      <c r="I110" s="2">
        <f t="shared" si="10"/>
        <v>6</v>
      </c>
      <c r="J110" s="2">
        <f t="shared" si="19"/>
        <v>10</v>
      </c>
      <c r="K110" s="2">
        <f t="shared" si="12"/>
        <v>6</v>
      </c>
      <c r="L110" t="b" cm="1">
        <f t="array" ref="L110">BoldFont(H110)</f>
        <v>0</v>
      </c>
      <c r="M110" t="str">
        <f t="shared" si="11"/>
        <v>Mt Aspiring Corridor Safety Improvements</v>
      </c>
      <c r="N110" t="str">
        <f t="shared" si="13"/>
        <v>Mt Aspiring Corridor Safety Improvements</v>
      </c>
      <c r="O110" t="str">
        <f t="shared" si="14"/>
        <v>MSQA</v>
      </c>
      <c r="P110" s="4">
        <f t="shared" si="15"/>
        <v>45099</v>
      </c>
      <c r="Q110" s="4">
        <f t="shared" si="16"/>
        <v>45266</v>
      </c>
      <c r="R110" s="5">
        <f t="shared" si="17"/>
        <v>31800</v>
      </c>
      <c r="S110" s="5">
        <f t="shared" si="18"/>
        <v>0</v>
      </c>
    </row>
    <row r="111" spans="1:19" ht="30" x14ac:dyDescent="0.25">
      <c r="A111" s="7"/>
      <c r="B111" s="15" t="s">
        <v>195</v>
      </c>
      <c r="C111" s="11" t="s">
        <v>93</v>
      </c>
      <c r="D111" s="11" t="s">
        <v>250</v>
      </c>
      <c r="E111" s="11" t="s">
        <v>271</v>
      </c>
      <c r="F111" s="12">
        <v>0.75</v>
      </c>
      <c r="G111" s="14">
        <v>819211</v>
      </c>
      <c r="H111" s="14">
        <v>746674</v>
      </c>
      <c r="I111" s="2">
        <f t="shared" si="10"/>
        <v>6</v>
      </c>
      <c r="J111" s="2">
        <f t="shared" si="19"/>
        <v>10</v>
      </c>
      <c r="K111" s="2">
        <f t="shared" si="12"/>
        <v>6</v>
      </c>
      <c r="L111" t="b" cm="1">
        <f t="array" ref="L111">BoldFont(H111)</f>
        <v>0</v>
      </c>
      <c r="M111" t="str">
        <f t="shared" si="11"/>
        <v>Mt Aspiring Corridor Safety Improvements</v>
      </c>
      <c r="N111" t="str">
        <f t="shared" si="13"/>
        <v>Mt Aspiring Corridor Safety Improvements</v>
      </c>
      <c r="O111" t="str">
        <f t="shared" si="14"/>
        <v>Construction</v>
      </c>
      <c r="P111" s="4">
        <f t="shared" si="15"/>
        <v>45099</v>
      </c>
      <c r="Q111" s="4">
        <f t="shared" si="16"/>
        <v>45266</v>
      </c>
      <c r="R111" s="5">
        <f t="shared" si="17"/>
        <v>819211</v>
      </c>
      <c r="S111" s="5">
        <f t="shared" si="18"/>
        <v>746674</v>
      </c>
    </row>
    <row r="112" spans="1:19" ht="30" hidden="1" x14ac:dyDescent="0.25">
      <c r="A112" s="8">
        <v>152525</v>
      </c>
      <c r="B112" s="8" t="s">
        <v>131</v>
      </c>
      <c r="C112" s="8" t="s">
        <v>116</v>
      </c>
      <c r="D112" s="8" t="s">
        <v>132</v>
      </c>
      <c r="E112" s="8" t="s">
        <v>132</v>
      </c>
      <c r="F112" s="9">
        <v>0</v>
      </c>
      <c r="G112" s="10">
        <v>0</v>
      </c>
      <c r="H112" s="10">
        <v>133500.01</v>
      </c>
      <c r="I112" s="2">
        <f t="shared" si="10"/>
        <v>3</v>
      </c>
      <c r="J112" s="2">
        <f t="shared" si="19"/>
        <v>11</v>
      </c>
      <c r="K112" s="2">
        <f t="shared" si="12"/>
        <v>6</v>
      </c>
      <c r="L112" t="b" cm="1">
        <f t="array" ref="L112">BoldFont(H112)</f>
        <v>1</v>
      </c>
      <c r="M112" t="str">
        <f t="shared" si="11"/>
        <v>Crown Range Queenstown Side Barriers</v>
      </c>
      <c r="N112" t="str">
        <f t="shared" si="13"/>
        <v>Mt Aspiring Corridor Safety Improvements</v>
      </c>
      <c r="O112" t="str">
        <f t="shared" si="14"/>
        <v/>
      </c>
      <c r="P112" s="4">
        <f t="shared" si="15"/>
        <v>44631</v>
      </c>
      <c r="Q112" s="4">
        <f t="shared" si="16"/>
        <v>44631</v>
      </c>
      <c r="R112" s="5">
        <f t="shared" si="17"/>
        <v>0</v>
      </c>
      <c r="S112" s="5">
        <f t="shared" si="18"/>
        <v>133500.01</v>
      </c>
    </row>
    <row r="113" spans="1:19" ht="30" x14ac:dyDescent="0.25">
      <c r="A113" s="7"/>
      <c r="B113" s="15" t="s">
        <v>111</v>
      </c>
      <c r="C113" s="11" t="s">
        <v>116</v>
      </c>
      <c r="D113" s="11" t="s">
        <v>132</v>
      </c>
      <c r="E113" s="11" t="s">
        <v>132</v>
      </c>
      <c r="F113" s="12">
        <v>0</v>
      </c>
      <c r="G113" s="14">
        <v>0</v>
      </c>
      <c r="H113" s="14">
        <v>12000</v>
      </c>
      <c r="I113" s="2">
        <f t="shared" si="10"/>
        <v>6</v>
      </c>
      <c r="J113" s="2">
        <f t="shared" si="19"/>
        <v>11</v>
      </c>
      <c r="K113" s="2">
        <f t="shared" si="12"/>
        <v>6</v>
      </c>
      <c r="L113" t="b" cm="1">
        <f t="array" ref="L113">BoldFont(H113)</f>
        <v>0</v>
      </c>
      <c r="M113" t="str">
        <f t="shared" si="11"/>
        <v>Crown Range Queenstown Side Barriers</v>
      </c>
      <c r="N113" t="str">
        <f t="shared" si="13"/>
        <v>Crown Range Queenstown Side Barriers</v>
      </c>
      <c r="O113" t="str">
        <f t="shared" si="14"/>
        <v>Concept Design including investigations and consultations where applicable</v>
      </c>
      <c r="P113" s="4">
        <f t="shared" si="15"/>
        <v>44631</v>
      </c>
      <c r="Q113" s="4">
        <f t="shared" si="16"/>
        <v>44631</v>
      </c>
      <c r="R113" s="5">
        <f t="shared" si="17"/>
        <v>0</v>
      </c>
      <c r="S113" s="5">
        <f t="shared" si="18"/>
        <v>12000</v>
      </c>
    </row>
    <row r="114" spans="1:19" ht="30" x14ac:dyDescent="0.25">
      <c r="A114" s="7"/>
      <c r="B114" s="15" t="s">
        <v>73</v>
      </c>
      <c r="C114" s="11" t="s">
        <v>116</v>
      </c>
      <c r="D114" s="11" t="s">
        <v>132</v>
      </c>
      <c r="E114" s="11" t="s">
        <v>132</v>
      </c>
      <c r="F114" s="12">
        <v>0</v>
      </c>
      <c r="G114" s="14">
        <v>0</v>
      </c>
      <c r="H114" s="14">
        <v>8010</v>
      </c>
      <c r="I114" s="2">
        <f t="shared" si="10"/>
        <v>6</v>
      </c>
      <c r="J114" s="2">
        <f t="shared" si="19"/>
        <v>11</v>
      </c>
      <c r="K114" s="2">
        <f t="shared" si="12"/>
        <v>6</v>
      </c>
      <c r="L114" t="b" cm="1">
        <f t="array" ref="L114">BoldFont(H114)</f>
        <v>0</v>
      </c>
      <c r="M114" t="str">
        <f t="shared" si="11"/>
        <v>Crown Range Queenstown Side Barriers</v>
      </c>
      <c r="N114" t="str">
        <f t="shared" si="13"/>
        <v>Crown Range Queenstown Side Barriers</v>
      </c>
      <c r="O114" t="str">
        <f t="shared" si="14"/>
        <v>Detailed Design</v>
      </c>
      <c r="P114" s="4">
        <f t="shared" si="15"/>
        <v>44631</v>
      </c>
      <c r="Q114" s="4">
        <f t="shared" si="16"/>
        <v>44631</v>
      </c>
      <c r="R114" s="5">
        <f t="shared" si="17"/>
        <v>0</v>
      </c>
      <c r="S114" s="5">
        <f t="shared" si="18"/>
        <v>8010</v>
      </c>
    </row>
    <row r="115" spans="1:19" ht="30" x14ac:dyDescent="0.25">
      <c r="A115" s="7"/>
      <c r="B115" s="11" t="s">
        <v>80</v>
      </c>
      <c r="C115" s="11" t="s">
        <v>116</v>
      </c>
      <c r="D115" s="11" t="s">
        <v>133</v>
      </c>
      <c r="E115" s="11" t="s">
        <v>133</v>
      </c>
      <c r="F115" s="12">
        <v>0</v>
      </c>
      <c r="G115" s="14">
        <v>0</v>
      </c>
      <c r="H115" s="14">
        <v>0</v>
      </c>
      <c r="I115" s="2">
        <f t="shared" si="10"/>
        <v>6</v>
      </c>
      <c r="J115" s="2">
        <f t="shared" si="19"/>
        <v>11</v>
      </c>
      <c r="K115" s="2">
        <f t="shared" si="12"/>
        <v>6</v>
      </c>
      <c r="L115" t="b" cm="1">
        <f t="array" ref="L115">BoldFont(H115)</f>
        <v>0</v>
      </c>
      <c r="M115" t="str">
        <f t="shared" si="11"/>
        <v>Crown Range Queenstown Side Barriers</v>
      </c>
      <c r="N115" t="str">
        <f t="shared" si="13"/>
        <v>Crown Range Queenstown Side Barriers</v>
      </c>
      <c r="O115" t="str">
        <f t="shared" si="14"/>
        <v>MSQA</v>
      </c>
      <c r="P115" s="4">
        <f t="shared" si="15"/>
        <v>44805</v>
      </c>
      <c r="Q115" s="4">
        <f t="shared" si="16"/>
        <v>44805</v>
      </c>
      <c r="R115" s="5">
        <f t="shared" si="17"/>
        <v>0</v>
      </c>
      <c r="S115" s="5">
        <f t="shared" si="18"/>
        <v>0</v>
      </c>
    </row>
    <row r="116" spans="1:19" ht="30" x14ac:dyDescent="0.25">
      <c r="A116" s="7"/>
      <c r="B116" s="15" t="s">
        <v>195</v>
      </c>
      <c r="C116" s="11" t="s">
        <v>116</v>
      </c>
      <c r="D116" s="11" t="s">
        <v>133</v>
      </c>
      <c r="E116" s="11" t="s">
        <v>133</v>
      </c>
      <c r="F116" s="12">
        <v>0</v>
      </c>
      <c r="G116" s="14">
        <v>0</v>
      </c>
      <c r="H116" s="14">
        <v>113490.01</v>
      </c>
      <c r="I116" s="2">
        <f t="shared" si="10"/>
        <v>6</v>
      </c>
      <c r="J116" s="2">
        <f t="shared" si="19"/>
        <v>11</v>
      </c>
      <c r="K116" s="2">
        <f t="shared" si="12"/>
        <v>6</v>
      </c>
      <c r="L116" t="b" cm="1">
        <f t="array" ref="L116">BoldFont(H116)</f>
        <v>0</v>
      </c>
      <c r="M116" t="str">
        <f t="shared" si="11"/>
        <v>Crown Range Queenstown Side Barriers</v>
      </c>
      <c r="N116" t="str">
        <f t="shared" si="13"/>
        <v>Crown Range Queenstown Side Barriers</v>
      </c>
      <c r="O116" t="str">
        <f t="shared" si="14"/>
        <v>Construction</v>
      </c>
      <c r="P116" s="4">
        <f t="shared" si="15"/>
        <v>44805</v>
      </c>
      <c r="Q116" s="4">
        <f t="shared" si="16"/>
        <v>44805</v>
      </c>
      <c r="R116" s="5">
        <f t="shared" si="17"/>
        <v>0</v>
      </c>
      <c r="S116" s="5">
        <f t="shared" si="18"/>
        <v>113490.01</v>
      </c>
    </row>
    <row r="117" spans="1:19" ht="30" hidden="1" x14ac:dyDescent="0.25">
      <c r="A117" s="8">
        <v>152544</v>
      </c>
      <c r="B117" s="8" t="s">
        <v>134</v>
      </c>
      <c r="C117" s="8" t="s">
        <v>116</v>
      </c>
      <c r="D117" s="8" t="s">
        <v>135</v>
      </c>
      <c r="E117" s="8" t="s">
        <v>135</v>
      </c>
      <c r="F117" s="9">
        <v>0</v>
      </c>
      <c r="G117" s="10">
        <v>0</v>
      </c>
      <c r="H117" s="10">
        <v>225000</v>
      </c>
      <c r="I117" s="2">
        <f t="shared" si="10"/>
        <v>3</v>
      </c>
      <c r="J117" s="2">
        <f t="shared" si="19"/>
        <v>12</v>
      </c>
      <c r="K117" s="2">
        <f t="shared" si="12"/>
        <v>6</v>
      </c>
      <c r="L117" t="b" cm="1">
        <f t="array" ref="L117">BoldFont(H117)</f>
        <v>1</v>
      </c>
      <c r="M117" t="str">
        <f t="shared" si="11"/>
        <v>Malaghans Dalefield IS SNP</v>
      </c>
      <c r="N117" t="str">
        <f t="shared" si="13"/>
        <v>Crown Range Queenstown Side Barriers</v>
      </c>
      <c r="O117" t="str">
        <f t="shared" si="14"/>
        <v/>
      </c>
      <c r="P117" s="4">
        <f t="shared" si="15"/>
        <v>44694</v>
      </c>
      <c r="Q117" s="4">
        <f t="shared" si="16"/>
        <v>44694</v>
      </c>
      <c r="R117" s="5">
        <f t="shared" si="17"/>
        <v>0</v>
      </c>
      <c r="S117" s="5">
        <f t="shared" si="18"/>
        <v>225000</v>
      </c>
    </row>
    <row r="118" spans="1:19" ht="30" x14ac:dyDescent="0.25">
      <c r="A118" s="7"/>
      <c r="B118" s="15" t="s">
        <v>111</v>
      </c>
      <c r="C118" s="11" t="s">
        <v>116</v>
      </c>
      <c r="D118" s="11" t="s">
        <v>135</v>
      </c>
      <c r="E118" s="11" t="s">
        <v>135</v>
      </c>
      <c r="F118" s="12">
        <v>0</v>
      </c>
      <c r="G118" s="14">
        <v>0</v>
      </c>
      <c r="H118" s="14">
        <v>12000</v>
      </c>
      <c r="I118" s="2">
        <f t="shared" si="10"/>
        <v>6</v>
      </c>
      <c r="J118" s="2">
        <f t="shared" si="19"/>
        <v>12</v>
      </c>
      <c r="K118" s="2">
        <f t="shared" si="12"/>
        <v>6</v>
      </c>
      <c r="L118" t="b" cm="1">
        <f t="array" ref="L118">BoldFont(H118)</f>
        <v>0</v>
      </c>
      <c r="M118" t="str">
        <f t="shared" si="11"/>
        <v>Malaghans Dalefield IS SNP</v>
      </c>
      <c r="N118" t="str">
        <f t="shared" si="13"/>
        <v>Malaghans Dalefield IS SNP</v>
      </c>
      <c r="O118" t="str">
        <f t="shared" si="14"/>
        <v>Concept Design including investigations and consultations where applicable</v>
      </c>
      <c r="P118" s="4">
        <f t="shared" si="15"/>
        <v>44694</v>
      </c>
      <c r="Q118" s="4">
        <f t="shared" si="16"/>
        <v>44694</v>
      </c>
      <c r="R118" s="5">
        <f t="shared" si="17"/>
        <v>0</v>
      </c>
      <c r="S118" s="5">
        <f t="shared" si="18"/>
        <v>12000</v>
      </c>
    </row>
    <row r="119" spans="1:19" ht="30" x14ac:dyDescent="0.25">
      <c r="A119" s="7"/>
      <c r="B119" s="15" t="s">
        <v>73</v>
      </c>
      <c r="C119" s="11" t="s">
        <v>116</v>
      </c>
      <c r="D119" s="11" t="s">
        <v>135</v>
      </c>
      <c r="E119" s="11" t="s">
        <v>135</v>
      </c>
      <c r="F119" s="12">
        <v>0</v>
      </c>
      <c r="G119" s="14">
        <v>0</v>
      </c>
      <c r="H119" s="14">
        <v>13500</v>
      </c>
      <c r="I119" s="2">
        <f t="shared" si="10"/>
        <v>6</v>
      </c>
      <c r="J119" s="2">
        <f t="shared" si="19"/>
        <v>12</v>
      </c>
      <c r="K119" s="2">
        <f t="shared" si="12"/>
        <v>6</v>
      </c>
      <c r="L119" t="b" cm="1">
        <f t="array" ref="L119">BoldFont(H119)</f>
        <v>0</v>
      </c>
      <c r="M119" t="str">
        <f t="shared" si="11"/>
        <v>Malaghans Dalefield IS SNP</v>
      </c>
      <c r="N119" t="str">
        <f t="shared" si="13"/>
        <v>Malaghans Dalefield IS SNP</v>
      </c>
      <c r="O119" t="str">
        <f t="shared" si="14"/>
        <v>Detailed Design</v>
      </c>
      <c r="P119" s="4">
        <f t="shared" si="15"/>
        <v>44694</v>
      </c>
      <c r="Q119" s="4">
        <f t="shared" si="16"/>
        <v>44694</v>
      </c>
      <c r="R119" s="5">
        <f t="shared" si="17"/>
        <v>0</v>
      </c>
      <c r="S119" s="5">
        <f t="shared" si="18"/>
        <v>13500</v>
      </c>
    </row>
    <row r="120" spans="1:19" ht="30" x14ac:dyDescent="0.25">
      <c r="A120" s="7"/>
      <c r="B120" s="11" t="s">
        <v>80</v>
      </c>
      <c r="C120" s="11" t="s">
        <v>116</v>
      </c>
      <c r="D120" s="11" t="s">
        <v>136</v>
      </c>
      <c r="E120" s="11" t="s">
        <v>136</v>
      </c>
      <c r="F120" s="12">
        <v>0</v>
      </c>
      <c r="G120" s="14">
        <v>0</v>
      </c>
      <c r="H120" s="14">
        <v>0</v>
      </c>
      <c r="I120" s="2">
        <f t="shared" si="10"/>
        <v>6</v>
      </c>
      <c r="J120" s="2">
        <f t="shared" si="19"/>
        <v>12</v>
      </c>
      <c r="K120" s="2">
        <f t="shared" si="12"/>
        <v>6</v>
      </c>
      <c r="L120" t="b" cm="1">
        <f t="array" ref="L120">BoldFont(H120)</f>
        <v>0</v>
      </c>
      <c r="M120" t="str">
        <f t="shared" si="11"/>
        <v>Malaghans Dalefield IS SNP</v>
      </c>
      <c r="N120" t="str">
        <f t="shared" si="13"/>
        <v>Malaghans Dalefield IS SNP</v>
      </c>
      <c r="O120" t="str">
        <f t="shared" si="14"/>
        <v>MSQA</v>
      </c>
      <c r="P120" s="4">
        <f t="shared" si="15"/>
        <v>44788</v>
      </c>
      <c r="Q120" s="4">
        <f t="shared" si="16"/>
        <v>44788</v>
      </c>
      <c r="R120" s="5">
        <f t="shared" si="17"/>
        <v>0</v>
      </c>
      <c r="S120" s="5">
        <f t="shared" si="18"/>
        <v>0</v>
      </c>
    </row>
    <row r="121" spans="1:19" ht="30" x14ac:dyDescent="0.25">
      <c r="A121" s="7"/>
      <c r="B121" s="15" t="s">
        <v>195</v>
      </c>
      <c r="C121" s="11" t="s">
        <v>116</v>
      </c>
      <c r="D121" s="11" t="s">
        <v>136</v>
      </c>
      <c r="E121" s="11" t="s">
        <v>136</v>
      </c>
      <c r="F121" s="12">
        <v>0</v>
      </c>
      <c r="G121" s="14">
        <v>0</v>
      </c>
      <c r="H121" s="14">
        <v>199500</v>
      </c>
      <c r="I121" s="2">
        <f t="shared" si="10"/>
        <v>6</v>
      </c>
      <c r="J121" s="2">
        <f t="shared" si="19"/>
        <v>12</v>
      </c>
      <c r="K121" s="2">
        <f t="shared" si="12"/>
        <v>6</v>
      </c>
      <c r="L121" t="b" cm="1">
        <f t="array" ref="L121">BoldFont(H121)</f>
        <v>0</v>
      </c>
      <c r="M121" t="str">
        <f t="shared" si="11"/>
        <v>Malaghans Dalefield IS SNP</v>
      </c>
      <c r="N121" t="str">
        <f t="shared" si="13"/>
        <v>Malaghans Dalefield IS SNP</v>
      </c>
      <c r="O121" t="str">
        <f t="shared" si="14"/>
        <v>Construction</v>
      </c>
      <c r="P121" s="4">
        <f t="shared" si="15"/>
        <v>44788</v>
      </c>
      <c r="Q121" s="4">
        <f t="shared" si="16"/>
        <v>44788</v>
      </c>
      <c r="R121" s="5">
        <f t="shared" si="17"/>
        <v>0</v>
      </c>
      <c r="S121" s="5">
        <f t="shared" si="18"/>
        <v>199500</v>
      </c>
    </row>
    <row r="122" spans="1:19" ht="30" hidden="1" x14ac:dyDescent="0.25">
      <c r="A122" s="8">
        <v>152524</v>
      </c>
      <c r="B122" s="8" t="s">
        <v>137</v>
      </c>
      <c r="C122" s="8" t="s">
        <v>272</v>
      </c>
      <c r="D122" s="8" t="s">
        <v>138</v>
      </c>
      <c r="E122" s="8" t="s">
        <v>273</v>
      </c>
      <c r="F122" s="9">
        <v>0.68</v>
      </c>
      <c r="G122" s="10">
        <v>175000</v>
      </c>
      <c r="H122" s="10">
        <v>264625</v>
      </c>
      <c r="I122" s="2">
        <f t="shared" si="10"/>
        <v>3</v>
      </c>
      <c r="J122" s="2">
        <f t="shared" si="19"/>
        <v>13</v>
      </c>
      <c r="K122" s="2">
        <f t="shared" si="12"/>
        <v>6</v>
      </c>
      <c r="L122" t="b" cm="1">
        <f t="array" ref="L122">BoldFont(H122)</f>
        <v>1</v>
      </c>
      <c r="M122" t="str">
        <f t="shared" si="11"/>
        <v>Tuohys Gully and Ski Resort IS</v>
      </c>
      <c r="N122" t="str">
        <f t="shared" si="13"/>
        <v>Malaghans Dalefield IS SNP</v>
      </c>
      <c r="O122" t="str">
        <f t="shared" si="14"/>
        <v/>
      </c>
      <c r="P122" s="4">
        <f t="shared" si="15"/>
        <v>44715</v>
      </c>
      <c r="Q122" s="4">
        <f t="shared" si="16"/>
        <v>45359</v>
      </c>
      <c r="R122" s="5">
        <f t="shared" si="17"/>
        <v>175000</v>
      </c>
      <c r="S122" s="5">
        <f t="shared" si="18"/>
        <v>264625</v>
      </c>
    </row>
    <row r="123" spans="1:19" ht="30" x14ac:dyDescent="0.25">
      <c r="A123" s="7"/>
      <c r="B123" s="15" t="s">
        <v>111</v>
      </c>
      <c r="C123" s="11" t="s">
        <v>140</v>
      </c>
      <c r="D123" s="11" t="s">
        <v>138</v>
      </c>
      <c r="E123" s="11" t="s">
        <v>141</v>
      </c>
      <c r="F123" s="12">
        <v>1</v>
      </c>
      <c r="G123" s="14">
        <v>10000</v>
      </c>
      <c r="H123" s="14">
        <v>12000</v>
      </c>
      <c r="I123" s="2">
        <f t="shared" si="10"/>
        <v>6</v>
      </c>
      <c r="J123" s="2">
        <f t="shared" si="19"/>
        <v>13</v>
      </c>
      <c r="K123" s="2">
        <f t="shared" si="12"/>
        <v>6</v>
      </c>
      <c r="L123" t="b" cm="1">
        <f t="array" ref="L123">BoldFont(H123)</f>
        <v>0</v>
      </c>
      <c r="M123" t="str">
        <f t="shared" si="11"/>
        <v>Tuohys Gully and Ski Resort IS</v>
      </c>
      <c r="N123" t="str">
        <f t="shared" si="13"/>
        <v>Tuohys Gully and Ski Resort IS</v>
      </c>
      <c r="O123" t="str">
        <f t="shared" si="14"/>
        <v>Concept Design including investigations and consultations where applicable</v>
      </c>
      <c r="P123" s="4">
        <f t="shared" si="15"/>
        <v>44715</v>
      </c>
      <c r="Q123" s="4">
        <f t="shared" si="16"/>
        <v>44910</v>
      </c>
      <c r="R123" s="5">
        <f t="shared" si="17"/>
        <v>10000</v>
      </c>
      <c r="S123" s="5">
        <f t="shared" si="18"/>
        <v>12000</v>
      </c>
    </row>
    <row r="124" spans="1:19" ht="30" x14ac:dyDescent="0.25">
      <c r="A124" s="7"/>
      <c r="B124" s="15" t="s">
        <v>73</v>
      </c>
      <c r="C124" s="11" t="s">
        <v>274</v>
      </c>
      <c r="D124" s="11" t="s">
        <v>142</v>
      </c>
      <c r="E124" s="11" t="s">
        <v>17</v>
      </c>
      <c r="F124" s="12">
        <v>0.9</v>
      </c>
      <c r="G124" s="14">
        <v>5000</v>
      </c>
      <c r="H124" s="14">
        <v>15877.5</v>
      </c>
      <c r="I124" s="2">
        <f t="shared" si="10"/>
        <v>6</v>
      </c>
      <c r="J124" s="2">
        <f t="shared" si="19"/>
        <v>13</v>
      </c>
      <c r="K124" s="2">
        <f t="shared" si="12"/>
        <v>6</v>
      </c>
      <c r="L124" t="b" cm="1">
        <f t="array" ref="L124">BoldFont(H124)</f>
        <v>0</v>
      </c>
      <c r="M124" t="str">
        <f t="shared" si="11"/>
        <v>Tuohys Gully and Ski Resort IS</v>
      </c>
      <c r="N124" t="str">
        <f t="shared" si="13"/>
        <v>Tuohys Gully and Ski Resort IS</v>
      </c>
      <c r="O124" t="str">
        <f t="shared" si="14"/>
        <v>Detailed Design</v>
      </c>
      <c r="P124" s="4">
        <f t="shared" si="15"/>
        <v>44984</v>
      </c>
      <c r="Q124" s="4">
        <f t="shared" si="16"/>
        <v>45261</v>
      </c>
      <c r="R124" s="5">
        <f t="shared" si="17"/>
        <v>5000</v>
      </c>
      <c r="S124" s="5">
        <f t="shared" si="18"/>
        <v>15877.5</v>
      </c>
    </row>
    <row r="125" spans="1:19" ht="30" x14ac:dyDescent="0.25">
      <c r="A125" s="7"/>
      <c r="B125" s="11" t="s">
        <v>275</v>
      </c>
      <c r="C125" s="11" t="s">
        <v>46</v>
      </c>
      <c r="D125" s="11" t="s">
        <v>180</v>
      </c>
      <c r="E125" s="11" t="s">
        <v>276</v>
      </c>
      <c r="F125" s="12">
        <v>0</v>
      </c>
      <c r="G125" s="14">
        <v>0</v>
      </c>
      <c r="H125" s="14">
        <v>0</v>
      </c>
      <c r="I125" s="2">
        <f t="shared" si="10"/>
        <v>6</v>
      </c>
      <c r="J125" s="2">
        <f t="shared" si="19"/>
        <v>13</v>
      </c>
      <c r="K125" s="2">
        <f t="shared" si="12"/>
        <v>6</v>
      </c>
      <c r="L125" t="b" cm="1">
        <f t="array" ref="L125">BoldFont(H125)</f>
        <v>0</v>
      </c>
      <c r="M125" t="str">
        <f t="shared" si="11"/>
        <v>Tuohys Gully and Ski Resort IS</v>
      </c>
      <c r="N125" t="str">
        <f t="shared" si="13"/>
        <v>Tuohys Gully and Ski Resort IS</v>
      </c>
      <c r="O125" t="str">
        <f t="shared" si="14"/>
        <v>Tender (maintenance)</v>
      </c>
      <c r="P125" s="4">
        <f t="shared" si="15"/>
        <v>45264</v>
      </c>
      <c r="Q125" s="4">
        <f t="shared" si="16"/>
        <v>45275</v>
      </c>
      <c r="R125" s="5">
        <f t="shared" si="17"/>
        <v>0</v>
      </c>
      <c r="S125" s="5">
        <f t="shared" si="18"/>
        <v>0</v>
      </c>
    </row>
    <row r="126" spans="1:19" ht="30" x14ac:dyDescent="0.25">
      <c r="A126" s="7"/>
      <c r="B126" s="11" t="s">
        <v>80</v>
      </c>
      <c r="C126" s="11" t="s">
        <v>54</v>
      </c>
      <c r="D126" s="11" t="s">
        <v>277</v>
      </c>
      <c r="E126" s="11" t="s">
        <v>273</v>
      </c>
      <c r="F126" s="12">
        <v>0</v>
      </c>
      <c r="G126" s="14">
        <v>10000</v>
      </c>
      <c r="H126" s="14">
        <v>0</v>
      </c>
      <c r="I126" s="2">
        <f t="shared" si="10"/>
        <v>6</v>
      </c>
      <c r="J126" s="2">
        <f t="shared" si="19"/>
        <v>13</v>
      </c>
      <c r="K126" s="2">
        <f t="shared" si="12"/>
        <v>6</v>
      </c>
      <c r="L126" t="b" cm="1">
        <f t="array" ref="L126">BoldFont(H126)</f>
        <v>0</v>
      </c>
      <c r="M126" t="str">
        <f t="shared" si="11"/>
        <v>Tuohys Gully and Ski Resort IS</v>
      </c>
      <c r="N126" t="str">
        <f t="shared" si="13"/>
        <v>Tuohys Gully and Ski Resort IS</v>
      </c>
      <c r="O126" t="str">
        <f t="shared" si="14"/>
        <v>MSQA</v>
      </c>
      <c r="P126" s="4">
        <f t="shared" si="15"/>
        <v>45278</v>
      </c>
      <c r="Q126" s="4">
        <f t="shared" si="16"/>
        <v>45359</v>
      </c>
      <c r="R126" s="5">
        <f t="shared" si="17"/>
        <v>10000</v>
      </c>
      <c r="S126" s="5">
        <f t="shared" si="18"/>
        <v>0</v>
      </c>
    </row>
    <row r="127" spans="1:19" ht="30" x14ac:dyDescent="0.25">
      <c r="A127" s="7"/>
      <c r="B127" s="15" t="s">
        <v>83</v>
      </c>
      <c r="C127" s="11" t="s">
        <v>54</v>
      </c>
      <c r="D127" s="11" t="s">
        <v>277</v>
      </c>
      <c r="E127" s="11" t="s">
        <v>273</v>
      </c>
      <c r="F127" s="12">
        <v>0</v>
      </c>
      <c r="G127" s="14">
        <v>150000</v>
      </c>
      <c r="H127" s="14">
        <v>236747.5</v>
      </c>
      <c r="I127" s="2">
        <f t="shared" si="10"/>
        <v>6</v>
      </c>
      <c r="J127" s="2">
        <f t="shared" si="19"/>
        <v>13</v>
      </c>
      <c r="K127" s="2">
        <f t="shared" si="12"/>
        <v>6</v>
      </c>
      <c r="L127" t="b" cm="1">
        <f t="array" ref="L127">BoldFont(H127)</f>
        <v>0</v>
      </c>
      <c r="M127" t="str">
        <f t="shared" si="11"/>
        <v>Tuohys Gully and Ski Resort IS</v>
      </c>
      <c r="N127" t="str">
        <f t="shared" si="13"/>
        <v>Tuohys Gully and Ski Resort IS</v>
      </c>
      <c r="O127" t="str">
        <f t="shared" si="14"/>
        <v>Construction</v>
      </c>
      <c r="P127" s="4">
        <f t="shared" si="15"/>
        <v>45278</v>
      </c>
      <c r="Q127" s="4">
        <f t="shared" si="16"/>
        <v>45359</v>
      </c>
      <c r="R127" s="5">
        <f t="shared" si="17"/>
        <v>150000</v>
      </c>
      <c r="S127" s="5">
        <f t="shared" si="18"/>
        <v>236747.5</v>
      </c>
    </row>
    <row r="128" spans="1:19" ht="30" hidden="1" x14ac:dyDescent="0.25">
      <c r="A128" s="7"/>
      <c r="B128" s="8" t="s">
        <v>146</v>
      </c>
      <c r="C128" s="8" t="s">
        <v>278</v>
      </c>
      <c r="D128" s="8" t="s">
        <v>147</v>
      </c>
      <c r="E128" s="8" t="s">
        <v>271</v>
      </c>
      <c r="F128" s="9">
        <v>0.92</v>
      </c>
      <c r="G128" s="10">
        <v>1432739</v>
      </c>
      <c r="H128" s="10">
        <v>0</v>
      </c>
      <c r="I128" s="2">
        <f t="shared" si="10"/>
        <v>3</v>
      </c>
      <c r="J128" s="2">
        <f t="shared" si="19"/>
        <v>14</v>
      </c>
      <c r="K128" s="2">
        <f t="shared" si="12"/>
        <v>6</v>
      </c>
      <c r="L128" t="b" cm="1">
        <f t="array" ref="L128">BoldFont(H128)</f>
        <v>1</v>
      </c>
      <c r="M128" t="str">
        <f t="shared" si="11"/>
        <v>Anderson Rd Active Travel</v>
      </c>
      <c r="N128" t="str">
        <f t="shared" si="13"/>
        <v>Tuohys Gully and Ski Resort IS</v>
      </c>
      <c r="O128" t="str">
        <f t="shared" si="14"/>
        <v/>
      </c>
      <c r="P128" s="4">
        <f t="shared" si="15"/>
        <v>44719</v>
      </c>
      <c r="Q128" s="4">
        <f t="shared" si="16"/>
        <v>45266</v>
      </c>
      <c r="R128" s="5">
        <f t="shared" si="17"/>
        <v>1432739</v>
      </c>
      <c r="S128" s="5">
        <f t="shared" si="18"/>
        <v>0</v>
      </c>
    </row>
    <row r="129" spans="1:19" ht="30" x14ac:dyDescent="0.25">
      <c r="A129" s="7"/>
      <c r="B129" s="11" t="s">
        <v>148</v>
      </c>
      <c r="C129" s="11" t="s">
        <v>149</v>
      </c>
      <c r="D129" s="11" t="s">
        <v>147</v>
      </c>
      <c r="E129" s="11" t="s">
        <v>124</v>
      </c>
      <c r="F129" s="12">
        <v>1</v>
      </c>
      <c r="G129" s="14">
        <v>13260</v>
      </c>
      <c r="H129" s="14">
        <v>13260</v>
      </c>
      <c r="I129" s="2">
        <f t="shared" si="10"/>
        <v>6</v>
      </c>
      <c r="J129" s="2">
        <f t="shared" si="19"/>
        <v>14</v>
      </c>
      <c r="K129" s="2">
        <f t="shared" si="12"/>
        <v>6</v>
      </c>
      <c r="L129" t="b" cm="1">
        <f t="array" ref="L129">BoldFont(H129)</f>
        <v>0</v>
      </c>
      <c r="M129" t="str">
        <f t="shared" si="11"/>
        <v>Anderson Rd Active Travel</v>
      </c>
      <c r="N129" t="str">
        <f t="shared" si="13"/>
        <v>Anderson Rd Active Travel</v>
      </c>
      <c r="O129" t="str">
        <f t="shared" si="14"/>
        <v>Tender document preparation</v>
      </c>
      <c r="P129" s="4">
        <f t="shared" si="15"/>
        <v>44719</v>
      </c>
      <c r="Q129" s="4">
        <f t="shared" si="16"/>
        <v>44757</v>
      </c>
      <c r="R129" s="5">
        <f t="shared" si="17"/>
        <v>13260</v>
      </c>
      <c r="S129" s="5">
        <f t="shared" si="18"/>
        <v>13260</v>
      </c>
    </row>
    <row r="130" spans="1:19" ht="30" x14ac:dyDescent="0.25">
      <c r="A130" s="7"/>
      <c r="B130" s="11" t="s">
        <v>150</v>
      </c>
      <c r="C130" s="11" t="s">
        <v>54</v>
      </c>
      <c r="D130" s="11" t="s">
        <v>107</v>
      </c>
      <c r="E130" s="11" t="s">
        <v>210</v>
      </c>
      <c r="F130" s="12">
        <v>1</v>
      </c>
      <c r="G130" s="14">
        <v>0</v>
      </c>
      <c r="H130" s="14">
        <v>0</v>
      </c>
      <c r="I130" s="2">
        <f t="shared" si="10"/>
        <v>6</v>
      </c>
      <c r="J130" s="2">
        <f t="shared" si="19"/>
        <v>14</v>
      </c>
      <c r="K130" s="2">
        <f t="shared" si="12"/>
        <v>6</v>
      </c>
      <c r="L130" t="b" cm="1">
        <f t="array" ref="L130">BoldFont(H130)</f>
        <v>0</v>
      </c>
      <c r="M130" t="str">
        <f t="shared" si="11"/>
        <v>Anderson Rd Active Travel</v>
      </c>
      <c r="N130" t="str">
        <f t="shared" si="13"/>
        <v>Anderson Rd Active Travel</v>
      </c>
      <c r="O130" t="str">
        <f t="shared" si="14"/>
        <v>Tender Period and Evaluation</v>
      </c>
      <c r="P130" s="4">
        <f t="shared" si="15"/>
        <v>44879</v>
      </c>
      <c r="Q130" s="4">
        <f t="shared" si="16"/>
        <v>44960</v>
      </c>
      <c r="R130" s="5">
        <f t="shared" si="17"/>
        <v>0</v>
      </c>
      <c r="S130" s="5">
        <f t="shared" si="18"/>
        <v>0</v>
      </c>
    </row>
    <row r="131" spans="1:19" ht="30" x14ac:dyDescent="0.25">
      <c r="A131" s="7"/>
      <c r="B131" s="11" t="s">
        <v>80</v>
      </c>
      <c r="C131" s="11" t="s">
        <v>279</v>
      </c>
      <c r="D131" s="11" t="s">
        <v>160</v>
      </c>
      <c r="E131" s="11" t="s">
        <v>271</v>
      </c>
      <c r="F131" s="12">
        <v>0.9</v>
      </c>
      <c r="G131" s="14">
        <v>19285</v>
      </c>
      <c r="H131" s="14">
        <v>19285</v>
      </c>
      <c r="I131" s="2">
        <f t="shared" ref="I131:I194" si="20">LEN(B131) - LEN(TRIM(B131))</f>
        <v>6</v>
      </c>
      <c r="J131" s="2">
        <f t="shared" si="19"/>
        <v>14</v>
      </c>
      <c r="K131" s="2">
        <f t="shared" si="12"/>
        <v>6</v>
      </c>
      <c r="L131" t="b" cm="1">
        <f t="array" ref="L131">BoldFont(H131)</f>
        <v>0</v>
      </c>
      <c r="M131" t="str">
        <f t="shared" ref="M131:M194" si="21">IF(I131=3,TRIM(B131),M130)</f>
        <v>Anderson Rd Active Travel</v>
      </c>
      <c r="N131" t="str">
        <f t="shared" si="13"/>
        <v>Anderson Rd Active Travel</v>
      </c>
      <c r="O131" t="str">
        <f t="shared" si="14"/>
        <v>MSQA</v>
      </c>
      <c r="P131" s="4">
        <f t="shared" si="15"/>
        <v>44977</v>
      </c>
      <c r="Q131" s="4">
        <f t="shared" si="16"/>
        <v>45266</v>
      </c>
      <c r="R131" s="5">
        <f t="shared" si="17"/>
        <v>19285</v>
      </c>
      <c r="S131" s="5">
        <f t="shared" si="18"/>
        <v>19285</v>
      </c>
    </row>
    <row r="132" spans="1:19" ht="30" x14ac:dyDescent="0.25">
      <c r="A132" s="7"/>
      <c r="B132" s="11" t="s">
        <v>83</v>
      </c>
      <c r="C132" s="11" t="s">
        <v>279</v>
      </c>
      <c r="D132" s="11" t="s">
        <v>160</v>
      </c>
      <c r="E132" s="11" t="s">
        <v>271</v>
      </c>
      <c r="F132" s="12">
        <v>0.9</v>
      </c>
      <c r="G132" s="14">
        <v>1400194</v>
      </c>
      <c r="H132" s="14">
        <v>0</v>
      </c>
      <c r="I132" s="2">
        <f t="shared" si="20"/>
        <v>6</v>
      </c>
      <c r="J132" s="2">
        <f t="shared" si="19"/>
        <v>14</v>
      </c>
      <c r="K132" s="2">
        <f t="shared" ref="K132:K195" si="22">_xlfn.MAXIFS($I$3:$I$210,$J$3:$J$210,J132)</f>
        <v>6</v>
      </c>
      <c r="L132" t="b" cm="1">
        <f t="array" ref="L132">BoldFont(H132)</f>
        <v>0</v>
      </c>
      <c r="M132" t="str">
        <f t="shared" si="21"/>
        <v>Anderson Rd Active Travel</v>
      </c>
      <c r="N132" t="str">
        <f t="shared" ref="N132:N195" si="23">IF(I132=6,IF(K132=6, M132,TRIM(B132)),N131)</f>
        <v>Anderson Rd Active Travel</v>
      </c>
      <c r="O132" t="str">
        <f t="shared" ref="O132:O195" si="24">IF(K132=I132,TRIM(B132),"")</f>
        <v>Construction</v>
      </c>
      <c r="P132" s="4">
        <f t="shared" ref="P132:P195" si="25">DATEVALUE(RIGHT(D132,LEN(D132)-4))</f>
        <v>44977</v>
      </c>
      <c r="Q132" s="4">
        <f t="shared" ref="Q132:Q195" si="26">DATEVALUE(RIGHT(E132,LEN(E132)-4))</f>
        <v>45266</v>
      </c>
      <c r="R132" s="5">
        <f t="shared" ref="R132:R195" si="27">G132</f>
        <v>1400194</v>
      </c>
      <c r="S132" s="5">
        <f t="shared" ref="S132:S195" si="28">H132</f>
        <v>0</v>
      </c>
    </row>
    <row r="133" spans="1:19" ht="30" x14ac:dyDescent="0.25">
      <c r="A133" s="11">
        <v>152547</v>
      </c>
      <c r="B133" s="8" t="s">
        <v>152</v>
      </c>
      <c r="C133" s="11" t="s">
        <v>153</v>
      </c>
      <c r="D133" s="11" t="s">
        <v>50</v>
      </c>
      <c r="E133" s="11" t="s">
        <v>50</v>
      </c>
      <c r="F133" s="12">
        <v>0</v>
      </c>
      <c r="G133" s="14">
        <v>0</v>
      </c>
      <c r="H133" s="14">
        <v>0</v>
      </c>
      <c r="I133" s="2">
        <f t="shared" si="20"/>
        <v>3</v>
      </c>
      <c r="J133" s="2">
        <f t="shared" ref="J133:J196" si="29">IF(I133=3,J132+1,J132)</f>
        <v>15</v>
      </c>
      <c r="K133" s="2">
        <f t="shared" si="22"/>
        <v>3</v>
      </c>
      <c r="L133" t="b" cm="1">
        <f t="array" ref="L133">BoldFont(H133)</f>
        <v>0</v>
      </c>
      <c r="M133" t="str">
        <f t="shared" si="21"/>
        <v>Memoral Camp IS SNP - Alliance?</v>
      </c>
      <c r="N133" t="str">
        <f t="shared" si="23"/>
        <v>Anderson Rd Active Travel</v>
      </c>
      <c r="O133" t="str">
        <f t="shared" si="24"/>
        <v>Memoral Camp IS SNP - Alliance?</v>
      </c>
      <c r="P133" s="4">
        <f t="shared" si="25"/>
        <v>44743</v>
      </c>
      <c r="Q133" s="4">
        <f t="shared" si="26"/>
        <v>44743</v>
      </c>
      <c r="R133" s="5">
        <f t="shared" si="27"/>
        <v>0</v>
      </c>
      <c r="S133" s="5">
        <f t="shared" si="28"/>
        <v>0</v>
      </c>
    </row>
    <row r="134" spans="1:19" ht="30" hidden="1" x14ac:dyDescent="0.25">
      <c r="A134" s="8">
        <v>152524</v>
      </c>
      <c r="B134" s="8" t="s">
        <v>154</v>
      </c>
      <c r="C134" s="8" t="s">
        <v>252</v>
      </c>
      <c r="D134" s="8" t="s">
        <v>155</v>
      </c>
      <c r="E134" s="8" t="s">
        <v>213</v>
      </c>
      <c r="F134" s="9">
        <v>0.63</v>
      </c>
      <c r="G134" s="10">
        <v>145570</v>
      </c>
      <c r="H134" s="10">
        <v>0</v>
      </c>
      <c r="I134" s="2">
        <f t="shared" si="20"/>
        <v>3</v>
      </c>
      <c r="J134" s="2">
        <f t="shared" si="29"/>
        <v>16</v>
      </c>
      <c r="K134" s="2">
        <f t="shared" si="22"/>
        <v>6</v>
      </c>
      <c r="L134" t="b" cm="1">
        <f t="array" ref="L134">BoldFont(H134)</f>
        <v>1</v>
      </c>
      <c r="M134" t="str">
        <f t="shared" si="21"/>
        <v>Cardrona Village</v>
      </c>
      <c r="N134" t="str">
        <f t="shared" si="23"/>
        <v>Anderson Rd Active Travel</v>
      </c>
      <c r="O134" t="str">
        <f t="shared" si="24"/>
        <v/>
      </c>
      <c r="P134" s="4">
        <f t="shared" si="25"/>
        <v>44747</v>
      </c>
      <c r="Q134" s="4">
        <f t="shared" si="26"/>
        <v>45411</v>
      </c>
      <c r="R134" s="5">
        <f t="shared" si="27"/>
        <v>145570</v>
      </c>
      <c r="S134" s="5">
        <f t="shared" si="28"/>
        <v>0</v>
      </c>
    </row>
    <row r="135" spans="1:19" ht="30" x14ac:dyDescent="0.25">
      <c r="A135" s="7"/>
      <c r="B135" s="11" t="s">
        <v>156</v>
      </c>
      <c r="C135" s="11" t="s">
        <v>211</v>
      </c>
      <c r="D135" s="11" t="s">
        <v>155</v>
      </c>
      <c r="E135" s="11" t="s">
        <v>212</v>
      </c>
      <c r="F135" s="12">
        <v>1</v>
      </c>
      <c r="G135" s="14">
        <v>10570</v>
      </c>
      <c r="H135" s="14">
        <v>10570</v>
      </c>
      <c r="I135" s="2">
        <f t="shared" si="20"/>
        <v>6</v>
      </c>
      <c r="J135" s="2">
        <f t="shared" si="29"/>
        <v>16</v>
      </c>
      <c r="K135" s="2">
        <f t="shared" si="22"/>
        <v>6</v>
      </c>
      <c r="L135" t="b" cm="1">
        <f t="array" ref="L135">BoldFont(H135)</f>
        <v>0</v>
      </c>
      <c r="M135" t="str">
        <f t="shared" si="21"/>
        <v>Cardrona Village</v>
      </c>
      <c r="N135" t="str">
        <f t="shared" si="23"/>
        <v>Cardrona Village</v>
      </c>
      <c r="O135" t="str">
        <f t="shared" si="24"/>
        <v>Feasibility</v>
      </c>
      <c r="P135" s="4">
        <f t="shared" si="25"/>
        <v>44747</v>
      </c>
      <c r="Q135" s="4">
        <f t="shared" si="26"/>
        <v>45054</v>
      </c>
      <c r="R135" s="5">
        <f t="shared" si="27"/>
        <v>10570</v>
      </c>
      <c r="S135" s="5">
        <f t="shared" si="28"/>
        <v>10570</v>
      </c>
    </row>
    <row r="136" spans="1:19" ht="30" x14ac:dyDescent="0.25">
      <c r="A136" s="7"/>
      <c r="B136" s="11" t="s">
        <v>253</v>
      </c>
      <c r="C136" s="11" t="s">
        <v>81</v>
      </c>
      <c r="D136" s="11" t="s">
        <v>254</v>
      </c>
      <c r="E136" s="11" t="s">
        <v>255</v>
      </c>
      <c r="F136" s="12">
        <v>0.8</v>
      </c>
      <c r="G136" s="14">
        <v>20000</v>
      </c>
      <c r="H136" s="14">
        <v>0</v>
      </c>
      <c r="I136" s="2">
        <f t="shared" si="20"/>
        <v>6</v>
      </c>
      <c r="J136" s="2">
        <f t="shared" si="29"/>
        <v>16</v>
      </c>
      <c r="K136" s="2">
        <f t="shared" si="22"/>
        <v>6</v>
      </c>
      <c r="L136" t="b" cm="1">
        <f t="array" ref="L136">BoldFont(H136)</f>
        <v>0</v>
      </c>
      <c r="M136" t="str">
        <f t="shared" si="21"/>
        <v>Cardrona Village</v>
      </c>
      <c r="N136" t="str">
        <f t="shared" si="23"/>
        <v>Cardrona Village</v>
      </c>
      <c r="O136" t="str">
        <f t="shared" si="24"/>
        <v>Detailed Design and Tender</v>
      </c>
      <c r="P136" s="4">
        <f t="shared" si="25"/>
        <v>45146</v>
      </c>
      <c r="Q136" s="4">
        <f t="shared" si="26"/>
        <v>45285</v>
      </c>
      <c r="R136" s="5">
        <f t="shared" si="27"/>
        <v>20000</v>
      </c>
      <c r="S136" s="5">
        <f t="shared" si="28"/>
        <v>0</v>
      </c>
    </row>
    <row r="137" spans="1:19" ht="30" x14ac:dyDescent="0.25">
      <c r="A137" s="7"/>
      <c r="B137" s="11" t="s">
        <v>80</v>
      </c>
      <c r="C137" s="11" t="s">
        <v>64</v>
      </c>
      <c r="D137" s="11" t="s">
        <v>256</v>
      </c>
      <c r="E137" s="11" t="s">
        <v>213</v>
      </c>
      <c r="F137" s="12">
        <v>0</v>
      </c>
      <c r="G137" s="14">
        <v>15000</v>
      </c>
      <c r="H137" s="14">
        <v>0</v>
      </c>
      <c r="I137" s="2">
        <f t="shared" si="20"/>
        <v>6</v>
      </c>
      <c r="J137" s="2">
        <f t="shared" si="29"/>
        <v>16</v>
      </c>
      <c r="K137" s="2">
        <f t="shared" si="22"/>
        <v>6</v>
      </c>
      <c r="L137" t="b" cm="1">
        <f t="array" ref="L137">BoldFont(H137)</f>
        <v>0</v>
      </c>
      <c r="M137" t="str">
        <f t="shared" si="21"/>
        <v>Cardrona Village</v>
      </c>
      <c r="N137" t="str">
        <f t="shared" si="23"/>
        <v>Cardrona Village</v>
      </c>
      <c r="O137" t="str">
        <f t="shared" si="24"/>
        <v>MSQA</v>
      </c>
      <c r="P137" s="4">
        <f t="shared" si="25"/>
        <v>45300</v>
      </c>
      <c r="Q137" s="4">
        <f t="shared" si="26"/>
        <v>45411</v>
      </c>
      <c r="R137" s="5">
        <f t="shared" si="27"/>
        <v>15000</v>
      </c>
      <c r="S137" s="5">
        <f t="shared" si="28"/>
        <v>0</v>
      </c>
    </row>
    <row r="138" spans="1:19" ht="30" x14ac:dyDescent="0.25">
      <c r="A138" s="7"/>
      <c r="B138" s="11" t="s">
        <v>83</v>
      </c>
      <c r="C138" s="11" t="s">
        <v>64</v>
      </c>
      <c r="D138" s="11" t="s">
        <v>256</v>
      </c>
      <c r="E138" s="11" t="s">
        <v>213</v>
      </c>
      <c r="F138" s="12">
        <v>0</v>
      </c>
      <c r="G138" s="14">
        <v>100000</v>
      </c>
      <c r="H138" s="14">
        <v>90000</v>
      </c>
      <c r="I138" s="2">
        <f t="shared" si="20"/>
        <v>6</v>
      </c>
      <c r="J138" s="2">
        <f t="shared" si="29"/>
        <v>16</v>
      </c>
      <c r="K138" s="2">
        <f t="shared" si="22"/>
        <v>6</v>
      </c>
      <c r="L138" t="b" cm="1">
        <f t="array" ref="L138">BoldFont(H138)</f>
        <v>0</v>
      </c>
      <c r="M138" t="str">
        <f t="shared" si="21"/>
        <v>Cardrona Village</v>
      </c>
      <c r="N138" t="str">
        <f t="shared" si="23"/>
        <v>Cardrona Village</v>
      </c>
      <c r="O138" t="str">
        <f t="shared" si="24"/>
        <v>Construction</v>
      </c>
      <c r="P138" s="4">
        <f t="shared" si="25"/>
        <v>45300</v>
      </c>
      <c r="Q138" s="4">
        <f t="shared" si="26"/>
        <v>45411</v>
      </c>
      <c r="R138" s="5">
        <f t="shared" si="27"/>
        <v>100000</v>
      </c>
      <c r="S138" s="5">
        <f t="shared" si="28"/>
        <v>90000</v>
      </c>
    </row>
    <row r="139" spans="1:19" ht="30" hidden="1" x14ac:dyDescent="0.25">
      <c r="A139" s="8">
        <v>152529</v>
      </c>
      <c r="B139" s="8" t="s">
        <v>157</v>
      </c>
      <c r="C139" s="8" t="s">
        <v>231</v>
      </c>
      <c r="D139" s="8" t="s">
        <v>136</v>
      </c>
      <c r="E139" s="8" t="s">
        <v>257</v>
      </c>
      <c r="F139" s="9">
        <v>0.98</v>
      </c>
      <c r="G139" s="10">
        <v>490724</v>
      </c>
      <c r="H139" s="10">
        <v>700000</v>
      </c>
      <c r="I139" s="2">
        <f t="shared" si="20"/>
        <v>3</v>
      </c>
      <c r="J139" s="2">
        <f t="shared" si="29"/>
        <v>17</v>
      </c>
      <c r="K139" s="2">
        <f t="shared" si="22"/>
        <v>6</v>
      </c>
      <c r="L139" t="b" cm="1">
        <f t="array" ref="L139">BoldFont(H139)</f>
        <v>1</v>
      </c>
      <c r="M139" t="str">
        <f t="shared" si="21"/>
        <v>Anderson Aubrey IS SNP</v>
      </c>
      <c r="N139" t="str">
        <f t="shared" si="23"/>
        <v>Cardrona Village</v>
      </c>
      <c r="O139" t="str">
        <f t="shared" si="24"/>
        <v/>
      </c>
      <c r="P139" s="4">
        <f t="shared" si="25"/>
        <v>44788</v>
      </c>
      <c r="Q139" s="4">
        <f t="shared" si="26"/>
        <v>45268</v>
      </c>
      <c r="R139" s="5">
        <f t="shared" si="27"/>
        <v>490724</v>
      </c>
      <c r="S139" s="5">
        <f t="shared" si="28"/>
        <v>700000</v>
      </c>
    </row>
    <row r="140" spans="1:19" ht="30" x14ac:dyDescent="0.25">
      <c r="A140" s="7"/>
      <c r="B140" s="15" t="s">
        <v>111</v>
      </c>
      <c r="C140" s="11" t="s">
        <v>112</v>
      </c>
      <c r="D140" s="11" t="s">
        <v>136</v>
      </c>
      <c r="E140" s="11" t="s">
        <v>159</v>
      </c>
      <c r="F140" s="12">
        <v>1</v>
      </c>
      <c r="G140" s="14">
        <v>18809</v>
      </c>
      <c r="H140" s="14">
        <v>12000</v>
      </c>
      <c r="I140" s="2">
        <f t="shared" si="20"/>
        <v>6</v>
      </c>
      <c r="J140" s="2">
        <f t="shared" si="29"/>
        <v>17</v>
      </c>
      <c r="K140" s="2">
        <f t="shared" si="22"/>
        <v>6</v>
      </c>
      <c r="L140" t="b" cm="1">
        <f t="array" ref="L140">BoldFont(H140)</f>
        <v>0</v>
      </c>
      <c r="M140" t="str">
        <f t="shared" si="21"/>
        <v>Anderson Aubrey IS SNP</v>
      </c>
      <c r="N140" t="str">
        <f t="shared" si="23"/>
        <v>Anderson Aubrey IS SNP</v>
      </c>
      <c r="O140" t="str">
        <f t="shared" si="24"/>
        <v>Concept Design including investigations and consultations where applicable</v>
      </c>
      <c r="P140" s="4">
        <f t="shared" si="25"/>
        <v>44788</v>
      </c>
      <c r="Q140" s="4">
        <f t="shared" si="26"/>
        <v>44890</v>
      </c>
      <c r="R140" s="5">
        <f t="shared" si="27"/>
        <v>18809</v>
      </c>
      <c r="S140" s="5">
        <f t="shared" si="28"/>
        <v>12000</v>
      </c>
    </row>
    <row r="141" spans="1:19" ht="30" x14ac:dyDescent="0.25">
      <c r="A141" s="7"/>
      <c r="B141" s="15" t="s">
        <v>73</v>
      </c>
      <c r="C141" s="11" t="s">
        <v>93</v>
      </c>
      <c r="D141" s="11" t="s">
        <v>160</v>
      </c>
      <c r="E141" s="11" t="s">
        <v>209</v>
      </c>
      <c r="F141" s="12">
        <v>1</v>
      </c>
      <c r="G141" s="14">
        <v>39750</v>
      </c>
      <c r="H141" s="14">
        <v>42000</v>
      </c>
      <c r="I141" s="2">
        <f t="shared" si="20"/>
        <v>6</v>
      </c>
      <c r="J141" s="2">
        <f t="shared" si="29"/>
        <v>17</v>
      </c>
      <c r="K141" s="2">
        <f t="shared" si="22"/>
        <v>6</v>
      </c>
      <c r="L141" t="b" cm="1">
        <f t="array" ref="L141">BoldFont(H141)</f>
        <v>0</v>
      </c>
      <c r="M141" t="str">
        <f t="shared" si="21"/>
        <v>Anderson Aubrey IS SNP</v>
      </c>
      <c r="N141" t="str">
        <f t="shared" si="23"/>
        <v>Anderson Aubrey IS SNP</v>
      </c>
      <c r="O141" t="str">
        <f t="shared" si="24"/>
        <v>Detailed Design</v>
      </c>
      <c r="P141" s="4">
        <f t="shared" si="25"/>
        <v>44977</v>
      </c>
      <c r="Q141" s="4">
        <f t="shared" si="26"/>
        <v>45142</v>
      </c>
      <c r="R141" s="5">
        <f t="shared" si="27"/>
        <v>39750</v>
      </c>
      <c r="S141" s="5">
        <f t="shared" si="28"/>
        <v>42000</v>
      </c>
    </row>
    <row r="142" spans="1:19" ht="30" x14ac:dyDescent="0.25">
      <c r="A142" s="7"/>
      <c r="B142" s="11" t="s">
        <v>80</v>
      </c>
      <c r="C142" s="11" t="s">
        <v>112</v>
      </c>
      <c r="D142" s="11" t="s">
        <v>258</v>
      </c>
      <c r="E142" s="11" t="s">
        <v>257</v>
      </c>
      <c r="F142" s="12">
        <v>0.95</v>
      </c>
      <c r="G142" s="14">
        <v>32300</v>
      </c>
      <c r="H142" s="14">
        <v>0</v>
      </c>
      <c r="I142" s="2">
        <f t="shared" si="20"/>
        <v>6</v>
      </c>
      <c r="J142" s="2">
        <f t="shared" si="29"/>
        <v>17</v>
      </c>
      <c r="K142" s="2">
        <f t="shared" si="22"/>
        <v>6</v>
      </c>
      <c r="L142" t="b" cm="1">
        <f t="array" ref="L142">BoldFont(H142)</f>
        <v>0</v>
      </c>
      <c r="M142" t="str">
        <f t="shared" si="21"/>
        <v>Anderson Aubrey IS SNP</v>
      </c>
      <c r="N142" t="str">
        <f t="shared" si="23"/>
        <v>Anderson Aubrey IS SNP</v>
      </c>
      <c r="O142" t="str">
        <f t="shared" si="24"/>
        <v>MSQA</v>
      </c>
      <c r="P142" s="4">
        <f t="shared" si="25"/>
        <v>45166</v>
      </c>
      <c r="Q142" s="4">
        <f t="shared" si="26"/>
        <v>45268</v>
      </c>
      <c r="R142" s="5">
        <f t="shared" si="27"/>
        <v>32300</v>
      </c>
      <c r="S142" s="5">
        <f t="shared" si="28"/>
        <v>0</v>
      </c>
    </row>
    <row r="143" spans="1:19" ht="30" x14ac:dyDescent="0.25">
      <c r="A143" s="7"/>
      <c r="B143" s="15" t="s">
        <v>83</v>
      </c>
      <c r="C143" s="11" t="s">
        <v>112</v>
      </c>
      <c r="D143" s="11" t="s">
        <v>258</v>
      </c>
      <c r="E143" s="11" t="s">
        <v>257</v>
      </c>
      <c r="F143" s="12">
        <v>0.95</v>
      </c>
      <c r="G143" s="14">
        <v>399865</v>
      </c>
      <c r="H143" s="14">
        <v>646000</v>
      </c>
      <c r="I143" s="2">
        <f t="shared" si="20"/>
        <v>6</v>
      </c>
      <c r="J143" s="2">
        <f t="shared" si="29"/>
        <v>17</v>
      </c>
      <c r="K143" s="2">
        <f t="shared" si="22"/>
        <v>6</v>
      </c>
      <c r="L143" t="b" cm="1">
        <f t="array" ref="L143">BoldFont(H143)</f>
        <v>0</v>
      </c>
      <c r="M143" t="str">
        <f t="shared" si="21"/>
        <v>Anderson Aubrey IS SNP</v>
      </c>
      <c r="N143" t="str">
        <f t="shared" si="23"/>
        <v>Anderson Aubrey IS SNP</v>
      </c>
      <c r="O143" t="str">
        <f t="shared" si="24"/>
        <v>Construction</v>
      </c>
      <c r="P143" s="4">
        <f t="shared" si="25"/>
        <v>45166</v>
      </c>
      <c r="Q143" s="4">
        <f t="shared" si="26"/>
        <v>45268</v>
      </c>
      <c r="R143" s="5">
        <f t="shared" si="27"/>
        <v>399865</v>
      </c>
      <c r="S143" s="5">
        <f t="shared" si="28"/>
        <v>646000</v>
      </c>
    </row>
    <row r="144" spans="1:19" ht="30" hidden="1" x14ac:dyDescent="0.25">
      <c r="A144" s="8">
        <v>152528</v>
      </c>
      <c r="B144" s="8" t="s">
        <v>161</v>
      </c>
      <c r="C144" s="8" t="s">
        <v>280</v>
      </c>
      <c r="D144" s="8" t="s">
        <v>162</v>
      </c>
      <c r="E144" s="8" t="s">
        <v>281</v>
      </c>
      <c r="F144" s="9">
        <v>0.54</v>
      </c>
      <c r="G144" s="10">
        <v>2078081</v>
      </c>
      <c r="H144" s="10">
        <v>0</v>
      </c>
      <c r="I144" s="2">
        <f t="shared" si="20"/>
        <v>3</v>
      </c>
      <c r="J144" s="2">
        <f t="shared" si="29"/>
        <v>18</v>
      </c>
      <c r="K144" s="2">
        <f t="shared" si="22"/>
        <v>6</v>
      </c>
      <c r="L144" t="b" cm="1">
        <f t="array" ref="L144">BoldFont(H144)</f>
        <v>1</v>
      </c>
      <c r="M144" t="str">
        <f t="shared" si="21"/>
        <v>Ballantyne Riverbanks IS</v>
      </c>
      <c r="N144" t="str">
        <f t="shared" si="23"/>
        <v>Anderson Aubrey IS SNP</v>
      </c>
      <c r="O144" t="str">
        <f t="shared" si="24"/>
        <v/>
      </c>
      <c r="P144" s="4">
        <f t="shared" si="25"/>
        <v>44796</v>
      </c>
      <c r="Q144" s="4">
        <f t="shared" si="26"/>
        <v>45463</v>
      </c>
      <c r="R144" s="5">
        <f t="shared" si="27"/>
        <v>2078081</v>
      </c>
      <c r="S144" s="5">
        <f t="shared" si="28"/>
        <v>0</v>
      </c>
    </row>
    <row r="145" spans="1:19" ht="30" x14ac:dyDescent="0.25">
      <c r="A145" s="7"/>
      <c r="B145" s="11" t="s">
        <v>73</v>
      </c>
      <c r="C145" s="11" t="s">
        <v>282</v>
      </c>
      <c r="D145" s="11" t="s">
        <v>162</v>
      </c>
      <c r="E145" s="11" t="s">
        <v>283</v>
      </c>
      <c r="F145" s="12">
        <v>1</v>
      </c>
      <c r="G145" s="14">
        <v>112345</v>
      </c>
      <c r="H145" s="14">
        <v>0</v>
      </c>
      <c r="I145" s="2">
        <f t="shared" si="20"/>
        <v>6</v>
      </c>
      <c r="J145" s="2">
        <f t="shared" si="29"/>
        <v>18</v>
      </c>
      <c r="K145" s="2">
        <f t="shared" si="22"/>
        <v>6</v>
      </c>
      <c r="L145" t="b" cm="1">
        <f t="array" ref="L145">BoldFont(H145)</f>
        <v>0</v>
      </c>
      <c r="M145" t="str">
        <f t="shared" si="21"/>
        <v>Ballantyne Riverbanks IS</v>
      </c>
      <c r="N145" t="str">
        <f t="shared" si="23"/>
        <v>Ballantyne Riverbanks IS</v>
      </c>
      <c r="O145" t="str">
        <f t="shared" si="24"/>
        <v>Detailed Design</v>
      </c>
      <c r="P145" s="4">
        <f t="shared" si="25"/>
        <v>44796</v>
      </c>
      <c r="Q145" s="4">
        <f t="shared" si="26"/>
        <v>45239</v>
      </c>
      <c r="R145" s="5">
        <f t="shared" si="27"/>
        <v>112345</v>
      </c>
      <c r="S145" s="5">
        <f t="shared" si="28"/>
        <v>0</v>
      </c>
    </row>
    <row r="146" spans="1:19" ht="30" x14ac:dyDescent="0.25">
      <c r="A146" s="7"/>
      <c r="B146" s="11" t="s">
        <v>163</v>
      </c>
      <c r="C146" s="11" t="s">
        <v>37</v>
      </c>
      <c r="D146" s="11" t="s">
        <v>185</v>
      </c>
      <c r="E146" s="11" t="s">
        <v>284</v>
      </c>
      <c r="F146" s="12">
        <v>0</v>
      </c>
      <c r="G146" s="14">
        <v>11496</v>
      </c>
      <c r="H146" s="14">
        <v>0</v>
      </c>
      <c r="I146" s="2">
        <f t="shared" si="20"/>
        <v>6</v>
      </c>
      <c r="J146" s="2">
        <f t="shared" si="29"/>
        <v>18</v>
      </c>
      <c r="K146" s="2">
        <f t="shared" si="22"/>
        <v>6</v>
      </c>
      <c r="L146" t="b" cm="1">
        <f t="array" ref="L146">BoldFont(H146)</f>
        <v>0</v>
      </c>
      <c r="M146" t="str">
        <f t="shared" si="21"/>
        <v>Ballantyne Riverbanks IS</v>
      </c>
      <c r="N146" t="str">
        <f t="shared" si="23"/>
        <v>Ballantyne Riverbanks IS</v>
      </c>
      <c r="O146" t="str">
        <f t="shared" si="24"/>
        <v>Tendering</v>
      </c>
      <c r="P146" s="4">
        <f t="shared" si="25"/>
        <v>45240</v>
      </c>
      <c r="Q146" s="4">
        <f t="shared" si="26"/>
        <v>45281</v>
      </c>
      <c r="R146" s="5">
        <f t="shared" si="27"/>
        <v>11496</v>
      </c>
      <c r="S146" s="5">
        <f t="shared" si="28"/>
        <v>0</v>
      </c>
    </row>
    <row r="147" spans="1:19" ht="30" x14ac:dyDescent="0.25">
      <c r="A147" s="7"/>
      <c r="B147" s="11" t="s">
        <v>196</v>
      </c>
      <c r="C147" s="11" t="s">
        <v>93</v>
      </c>
      <c r="D147" s="11" t="s">
        <v>122</v>
      </c>
      <c r="E147" s="11" t="s">
        <v>281</v>
      </c>
      <c r="F147" s="12">
        <v>0</v>
      </c>
      <c r="G147" s="14">
        <v>54240</v>
      </c>
      <c r="H147" s="14">
        <v>0</v>
      </c>
      <c r="I147" s="2">
        <f t="shared" si="20"/>
        <v>6</v>
      </c>
      <c r="J147" s="2">
        <f t="shared" si="29"/>
        <v>18</v>
      </c>
      <c r="K147" s="2">
        <f t="shared" si="22"/>
        <v>6</v>
      </c>
      <c r="L147" t="b" cm="1">
        <f t="array" ref="L147">BoldFont(H147)</f>
        <v>0</v>
      </c>
      <c r="M147" t="str">
        <f t="shared" si="21"/>
        <v>Ballantyne Riverbanks IS</v>
      </c>
      <c r="N147" t="str">
        <f t="shared" si="23"/>
        <v>Ballantyne Riverbanks IS</v>
      </c>
      <c r="O147" t="str">
        <f t="shared" si="24"/>
        <v>MSQA</v>
      </c>
      <c r="P147" s="4">
        <f t="shared" si="25"/>
        <v>45296</v>
      </c>
      <c r="Q147" s="4">
        <f t="shared" si="26"/>
        <v>45463</v>
      </c>
      <c r="R147" s="5">
        <f t="shared" si="27"/>
        <v>54240</v>
      </c>
      <c r="S147" s="5">
        <f t="shared" si="28"/>
        <v>0</v>
      </c>
    </row>
    <row r="148" spans="1:19" ht="30" x14ac:dyDescent="0.25">
      <c r="A148" s="7"/>
      <c r="B148" s="11" t="s">
        <v>83</v>
      </c>
      <c r="C148" s="11" t="s">
        <v>93</v>
      </c>
      <c r="D148" s="11" t="s">
        <v>122</v>
      </c>
      <c r="E148" s="11" t="s">
        <v>281</v>
      </c>
      <c r="F148" s="12">
        <v>0</v>
      </c>
      <c r="G148" s="14">
        <v>1900000</v>
      </c>
      <c r="H148" s="14">
        <v>0</v>
      </c>
      <c r="I148" s="2">
        <f t="shared" si="20"/>
        <v>6</v>
      </c>
      <c r="J148" s="2">
        <f t="shared" si="29"/>
        <v>18</v>
      </c>
      <c r="K148" s="2">
        <f t="shared" si="22"/>
        <v>6</v>
      </c>
      <c r="L148" t="b" cm="1">
        <f t="array" ref="L148">BoldFont(H148)</f>
        <v>0</v>
      </c>
      <c r="M148" t="str">
        <f t="shared" si="21"/>
        <v>Ballantyne Riverbanks IS</v>
      </c>
      <c r="N148" t="str">
        <f t="shared" si="23"/>
        <v>Ballantyne Riverbanks IS</v>
      </c>
      <c r="O148" t="str">
        <f t="shared" si="24"/>
        <v>Construction</v>
      </c>
      <c r="P148" s="4">
        <f t="shared" si="25"/>
        <v>45296</v>
      </c>
      <c r="Q148" s="4">
        <f t="shared" si="26"/>
        <v>45463</v>
      </c>
      <c r="R148" s="5">
        <f t="shared" si="27"/>
        <v>1900000</v>
      </c>
      <c r="S148" s="5">
        <f t="shared" si="28"/>
        <v>0</v>
      </c>
    </row>
    <row r="149" spans="1:19" ht="30" hidden="1" x14ac:dyDescent="0.25">
      <c r="A149" s="8">
        <v>152524</v>
      </c>
      <c r="B149" s="8" t="s">
        <v>166</v>
      </c>
      <c r="C149" s="8" t="s">
        <v>259</v>
      </c>
      <c r="D149" s="8" t="s">
        <v>216</v>
      </c>
      <c r="E149" s="8" t="s">
        <v>260</v>
      </c>
      <c r="F149" s="9">
        <v>0.34</v>
      </c>
      <c r="G149" s="10">
        <v>0</v>
      </c>
      <c r="H149" s="10">
        <v>273875</v>
      </c>
      <c r="I149" s="2">
        <f t="shared" si="20"/>
        <v>3</v>
      </c>
      <c r="J149" s="2">
        <f t="shared" si="29"/>
        <v>19</v>
      </c>
      <c r="K149" s="2">
        <f t="shared" si="22"/>
        <v>6</v>
      </c>
      <c r="L149" t="b" cm="1">
        <f t="array" ref="L149">BoldFont(H149)</f>
        <v>1</v>
      </c>
      <c r="M149" t="str">
        <f t="shared" si="21"/>
        <v>Cardrona Barriers</v>
      </c>
      <c r="N149" t="str">
        <f t="shared" si="23"/>
        <v>Ballantyne Riverbanks IS</v>
      </c>
      <c r="O149" t="str">
        <f t="shared" si="24"/>
        <v/>
      </c>
      <c r="P149" s="4">
        <f t="shared" si="25"/>
        <v>44847</v>
      </c>
      <c r="Q149" s="4">
        <f t="shared" si="26"/>
        <v>45233</v>
      </c>
      <c r="R149" s="5">
        <f t="shared" si="27"/>
        <v>0</v>
      </c>
      <c r="S149" s="5">
        <f t="shared" si="28"/>
        <v>273875</v>
      </c>
    </row>
    <row r="150" spans="1:19" ht="30" x14ac:dyDescent="0.25">
      <c r="A150" s="7"/>
      <c r="B150" s="15" t="s">
        <v>111</v>
      </c>
      <c r="C150" s="11" t="s">
        <v>167</v>
      </c>
      <c r="D150" s="11" t="s">
        <v>216</v>
      </c>
      <c r="E150" s="11" t="s">
        <v>201</v>
      </c>
      <c r="F150" s="12">
        <v>1</v>
      </c>
      <c r="G150" s="14">
        <v>0</v>
      </c>
      <c r="H150" s="14">
        <v>0</v>
      </c>
      <c r="I150" s="2">
        <f t="shared" si="20"/>
        <v>6</v>
      </c>
      <c r="J150" s="2">
        <f t="shared" si="29"/>
        <v>19</v>
      </c>
      <c r="K150" s="2">
        <f t="shared" si="22"/>
        <v>6</v>
      </c>
      <c r="L150" t="b" cm="1">
        <f t="array" ref="L150">BoldFont(H150)</f>
        <v>0</v>
      </c>
      <c r="M150" t="str">
        <f t="shared" si="21"/>
        <v>Cardrona Barriers</v>
      </c>
      <c r="N150" t="str">
        <f t="shared" si="23"/>
        <v>Cardrona Barriers</v>
      </c>
      <c r="O150" t="str">
        <f t="shared" si="24"/>
        <v>Concept Design including investigations and consultations where applicable</v>
      </c>
      <c r="P150" s="4">
        <f t="shared" si="25"/>
        <v>44847</v>
      </c>
      <c r="Q150" s="4">
        <f t="shared" si="26"/>
        <v>44867</v>
      </c>
      <c r="R150" s="5">
        <f t="shared" si="27"/>
        <v>0</v>
      </c>
      <c r="S150" s="5">
        <f t="shared" si="28"/>
        <v>0</v>
      </c>
    </row>
    <row r="151" spans="1:19" ht="30" x14ac:dyDescent="0.25">
      <c r="A151" s="7"/>
      <c r="B151" s="15" t="s">
        <v>73</v>
      </c>
      <c r="C151" s="11" t="s">
        <v>60</v>
      </c>
      <c r="D151" s="11" t="s">
        <v>217</v>
      </c>
      <c r="E151" s="11" t="s">
        <v>108</v>
      </c>
      <c r="F151" s="12">
        <v>1</v>
      </c>
      <c r="G151" s="14">
        <v>0</v>
      </c>
      <c r="H151" s="14">
        <v>0</v>
      </c>
      <c r="I151" s="2">
        <f t="shared" si="20"/>
        <v>6</v>
      </c>
      <c r="J151" s="2">
        <f t="shared" si="29"/>
        <v>19</v>
      </c>
      <c r="K151" s="2">
        <f t="shared" si="22"/>
        <v>6</v>
      </c>
      <c r="L151" t="b" cm="1">
        <f t="array" ref="L151">BoldFont(H151)</f>
        <v>0</v>
      </c>
      <c r="M151" t="str">
        <f t="shared" si="21"/>
        <v>Cardrona Barriers</v>
      </c>
      <c r="N151" t="str">
        <f t="shared" si="23"/>
        <v>Cardrona Barriers</v>
      </c>
      <c r="O151" t="str">
        <f t="shared" si="24"/>
        <v>Detailed Design</v>
      </c>
      <c r="P151" s="4">
        <f t="shared" si="25"/>
        <v>44921</v>
      </c>
      <c r="Q151" s="4">
        <f t="shared" si="26"/>
        <v>44988</v>
      </c>
      <c r="R151" s="5">
        <f t="shared" si="27"/>
        <v>0</v>
      </c>
      <c r="S151" s="5">
        <f t="shared" si="28"/>
        <v>0</v>
      </c>
    </row>
    <row r="152" spans="1:19" ht="30" x14ac:dyDescent="0.25">
      <c r="A152" s="7"/>
      <c r="B152" s="11" t="s">
        <v>76</v>
      </c>
      <c r="C152" s="11" t="s">
        <v>89</v>
      </c>
      <c r="D152" s="11" t="s">
        <v>143</v>
      </c>
      <c r="E152" s="11" t="s">
        <v>144</v>
      </c>
      <c r="F152" s="12">
        <v>1</v>
      </c>
      <c r="G152" s="14">
        <v>0</v>
      </c>
      <c r="H152" s="14">
        <v>0</v>
      </c>
      <c r="I152" s="2">
        <f t="shared" si="20"/>
        <v>6</v>
      </c>
      <c r="J152" s="2">
        <f t="shared" si="29"/>
        <v>19</v>
      </c>
      <c r="K152" s="2">
        <f t="shared" si="22"/>
        <v>6</v>
      </c>
      <c r="L152" t="b" cm="1">
        <f t="array" ref="L152">BoldFont(H152)</f>
        <v>0</v>
      </c>
      <c r="M152" t="str">
        <f t="shared" si="21"/>
        <v>Cardrona Barriers</v>
      </c>
      <c r="N152" t="str">
        <f t="shared" si="23"/>
        <v>Cardrona Barriers</v>
      </c>
      <c r="O152" t="str">
        <f t="shared" si="24"/>
        <v>Tender</v>
      </c>
      <c r="P152" s="4">
        <f t="shared" si="25"/>
        <v>45040</v>
      </c>
      <c r="Q152" s="4">
        <f t="shared" si="26"/>
        <v>45093</v>
      </c>
      <c r="R152" s="5">
        <f t="shared" si="27"/>
        <v>0</v>
      </c>
      <c r="S152" s="5">
        <f t="shared" si="28"/>
        <v>0</v>
      </c>
    </row>
    <row r="153" spans="1:19" ht="30" x14ac:dyDescent="0.25">
      <c r="A153" s="7"/>
      <c r="B153" s="11" t="s">
        <v>80</v>
      </c>
      <c r="C153" s="11" t="s">
        <v>81</v>
      </c>
      <c r="D153" s="11" t="s">
        <v>145</v>
      </c>
      <c r="E153" s="11" t="s">
        <v>260</v>
      </c>
      <c r="F153" s="12">
        <v>0</v>
      </c>
      <c r="G153" s="14">
        <v>0</v>
      </c>
      <c r="H153" s="14">
        <v>0</v>
      </c>
      <c r="I153" s="2">
        <f t="shared" si="20"/>
        <v>6</v>
      </c>
      <c r="J153" s="2">
        <f t="shared" si="29"/>
        <v>19</v>
      </c>
      <c r="K153" s="2">
        <f t="shared" si="22"/>
        <v>6</v>
      </c>
      <c r="L153" t="b" cm="1">
        <f t="array" ref="L153">BoldFont(H153)</f>
        <v>0</v>
      </c>
      <c r="M153" t="str">
        <f t="shared" si="21"/>
        <v>Cardrona Barriers</v>
      </c>
      <c r="N153" t="str">
        <f t="shared" si="23"/>
        <v>Cardrona Barriers</v>
      </c>
      <c r="O153" t="str">
        <f t="shared" si="24"/>
        <v>MSQA</v>
      </c>
      <c r="P153" s="4">
        <f t="shared" si="25"/>
        <v>45096</v>
      </c>
      <c r="Q153" s="4">
        <f t="shared" si="26"/>
        <v>45233</v>
      </c>
      <c r="R153" s="5">
        <f t="shared" si="27"/>
        <v>0</v>
      </c>
      <c r="S153" s="5">
        <f t="shared" si="28"/>
        <v>0</v>
      </c>
    </row>
    <row r="154" spans="1:19" ht="30" x14ac:dyDescent="0.25">
      <c r="A154" s="7"/>
      <c r="B154" s="15" t="s">
        <v>195</v>
      </c>
      <c r="C154" s="11" t="s">
        <v>81</v>
      </c>
      <c r="D154" s="11" t="s">
        <v>145</v>
      </c>
      <c r="E154" s="11" t="s">
        <v>260</v>
      </c>
      <c r="F154" s="12">
        <v>0</v>
      </c>
      <c r="G154" s="14">
        <v>0</v>
      </c>
      <c r="H154" s="14">
        <v>0</v>
      </c>
      <c r="I154" s="2">
        <f t="shared" si="20"/>
        <v>6</v>
      </c>
      <c r="J154" s="2">
        <f t="shared" si="29"/>
        <v>19</v>
      </c>
      <c r="K154" s="2">
        <f t="shared" si="22"/>
        <v>6</v>
      </c>
      <c r="L154" t="b" cm="1">
        <f t="array" ref="L154">BoldFont(H154)</f>
        <v>0</v>
      </c>
      <c r="M154" t="str">
        <f t="shared" si="21"/>
        <v>Cardrona Barriers</v>
      </c>
      <c r="N154" t="str">
        <f t="shared" si="23"/>
        <v>Cardrona Barriers</v>
      </c>
      <c r="O154" t="str">
        <f t="shared" si="24"/>
        <v>Construction</v>
      </c>
      <c r="P154" s="4">
        <f t="shared" si="25"/>
        <v>45096</v>
      </c>
      <c r="Q154" s="4">
        <f t="shared" si="26"/>
        <v>45233</v>
      </c>
      <c r="R154" s="5">
        <f t="shared" si="27"/>
        <v>0</v>
      </c>
      <c r="S154" s="5">
        <f t="shared" si="28"/>
        <v>0</v>
      </c>
    </row>
    <row r="155" spans="1:19" ht="30" hidden="1" x14ac:dyDescent="0.25">
      <c r="A155" s="8">
        <v>152525</v>
      </c>
      <c r="B155" s="8" t="s">
        <v>164</v>
      </c>
      <c r="C155" s="8" t="s">
        <v>116</v>
      </c>
      <c r="D155" s="8" t="s">
        <v>165</v>
      </c>
      <c r="E155" s="8" t="s">
        <v>165</v>
      </c>
      <c r="F155" s="9">
        <v>0</v>
      </c>
      <c r="G155" s="10">
        <v>0</v>
      </c>
      <c r="H155" s="10">
        <v>366250</v>
      </c>
      <c r="I155" s="2">
        <f t="shared" si="20"/>
        <v>3</v>
      </c>
      <c r="J155" s="2">
        <f t="shared" si="29"/>
        <v>20</v>
      </c>
      <c r="K155" s="2">
        <f t="shared" si="22"/>
        <v>6</v>
      </c>
      <c r="L155" t="b" cm="1">
        <f t="array" ref="L155">BoldFont(H155)</f>
        <v>1</v>
      </c>
      <c r="M155" t="str">
        <f t="shared" si="21"/>
        <v>Crown Range - Chain Bay 4</v>
      </c>
      <c r="N155" t="str">
        <f t="shared" si="23"/>
        <v>Cardrona Barriers</v>
      </c>
      <c r="O155" t="str">
        <f t="shared" si="24"/>
        <v/>
      </c>
      <c r="P155" s="4">
        <f t="shared" si="25"/>
        <v>44858</v>
      </c>
      <c r="Q155" s="4">
        <f t="shared" si="26"/>
        <v>44858</v>
      </c>
      <c r="R155" s="5">
        <f t="shared" si="27"/>
        <v>0</v>
      </c>
      <c r="S155" s="5">
        <f t="shared" si="28"/>
        <v>366250</v>
      </c>
    </row>
    <row r="156" spans="1:19" ht="30" x14ac:dyDescent="0.25">
      <c r="A156" s="7"/>
      <c r="B156" s="15" t="s">
        <v>111</v>
      </c>
      <c r="C156" s="11" t="s">
        <v>116</v>
      </c>
      <c r="D156" s="11" t="s">
        <v>165</v>
      </c>
      <c r="E156" s="11" t="s">
        <v>165</v>
      </c>
      <c r="F156" s="12">
        <v>0.99</v>
      </c>
      <c r="G156" s="14">
        <v>0</v>
      </c>
      <c r="H156" s="14">
        <v>12000</v>
      </c>
      <c r="I156" s="2">
        <f t="shared" si="20"/>
        <v>6</v>
      </c>
      <c r="J156" s="2">
        <f t="shared" si="29"/>
        <v>20</v>
      </c>
      <c r="K156" s="2">
        <f t="shared" si="22"/>
        <v>6</v>
      </c>
      <c r="L156" t="b" cm="1">
        <f t="array" ref="L156">BoldFont(H156)</f>
        <v>0</v>
      </c>
      <c r="M156" t="str">
        <f t="shared" si="21"/>
        <v>Crown Range - Chain Bay 4</v>
      </c>
      <c r="N156" t="str">
        <f t="shared" si="23"/>
        <v>Crown Range - Chain Bay 4</v>
      </c>
      <c r="O156" t="str">
        <f t="shared" si="24"/>
        <v>Concept Design including investigations and consultations where applicable</v>
      </c>
      <c r="P156" s="4">
        <f t="shared" si="25"/>
        <v>44858</v>
      </c>
      <c r="Q156" s="4">
        <f t="shared" si="26"/>
        <v>44858</v>
      </c>
      <c r="R156" s="5">
        <f t="shared" si="27"/>
        <v>0</v>
      </c>
      <c r="S156" s="5">
        <f t="shared" si="28"/>
        <v>12000</v>
      </c>
    </row>
    <row r="157" spans="1:19" ht="30" x14ac:dyDescent="0.25">
      <c r="A157" s="7"/>
      <c r="B157" s="15" t="s">
        <v>73</v>
      </c>
      <c r="C157" s="11" t="s">
        <v>89</v>
      </c>
      <c r="D157" s="11" t="s">
        <v>165</v>
      </c>
      <c r="E157" s="11" t="s">
        <v>20</v>
      </c>
      <c r="F157" s="12">
        <v>0</v>
      </c>
      <c r="G157" s="14">
        <v>0</v>
      </c>
      <c r="H157" s="14">
        <v>21975</v>
      </c>
      <c r="I157" s="2">
        <f t="shared" si="20"/>
        <v>6</v>
      </c>
      <c r="J157" s="2">
        <f t="shared" si="29"/>
        <v>20</v>
      </c>
      <c r="K157" s="2">
        <f t="shared" si="22"/>
        <v>6</v>
      </c>
      <c r="L157" t="b" cm="1">
        <f t="array" ref="L157">BoldFont(H157)</f>
        <v>0</v>
      </c>
      <c r="M157" t="str">
        <f t="shared" si="21"/>
        <v>Crown Range - Chain Bay 4</v>
      </c>
      <c r="N157" t="str">
        <f t="shared" si="23"/>
        <v>Crown Range - Chain Bay 4</v>
      </c>
      <c r="O157" t="str">
        <f t="shared" si="24"/>
        <v>Detailed Design</v>
      </c>
      <c r="P157" s="4">
        <f t="shared" si="25"/>
        <v>44858</v>
      </c>
      <c r="Q157" s="4">
        <f t="shared" si="26"/>
        <v>44911</v>
      </c>
      <c r="R157" s="5">
        <f t="shared" si="27"/>
        <v>0</v>
      </c>
      <c r="S157" s="5">
        <f t="shared" si="28"/>
        <v>21975</v>
      </c>
    </row>
    <row r="158" spans="1:19" ht="30" x14ac:dyDescent="0.25">
      <c r="A158" s="7"/>
      <c r="B158" s="15" t="s">
        <v>76</v>
      </c>
      <c r="C158" s="11" t="s">
        <v>116</v>
      </c>
      <c r="D158" s="11" t="s">
        <v>151</v>
      </c>
      <c r="E158" s="11" t="s">
        <v>151</v>
      </c>
      <c r="F158" s="12">
        <v>0</v>
      </c>
      <c r="G158" s="14">
        <v>0</v>
      </c>
      <c r="H158" s="14">
        <v>0</v>
      </c>
      <c r="I158" s="2">
        <f t="shared" si="20"/>
        <v>6</v>
      </c>
      <c r="J158" s="2">
        <f t="shared" si="29"/>
        <v>20</v>
      </c>
      <c r="K158" s="2">
        <f t="shared" si="22"/>
        <v>6</v>
      </c>
      <c r="L158" t="b" cm="1">
        <f t="array" ref="L158">BoldFont(H158)</f>
        <v>0</v>
      </c>
      <c r="M158" t="str">
        <f t="shared" si="21"/>
        <v>Crown Range - Chain Bay 4</v>
      </c>
      <c r="N158" t="str">
        <f t="shared" si="23"/>
        <v>Crown Range - Chain Bay 4</v>
      </c>
      <c r="O158" t="str">
        <f t="shared" si="24"/>
        <v>Tender</v>
      </c>
      <c r="P158" s="4">
        <f t="shared" si="25"/>
        <v>44949</v>
      </c>
      <c r="Q158" s="4">
        <f t="shared" si="26"/>
        <v>44949</v>
      </c>
      <c r="R158" s="5">
        <f t="shared" si="27"/>
        <v>0</v>
      </c>
      <c r="S158" s="5">
        <f t="shared" si="28"/>
        <v>0</v>
      </c>
    </row>
    <row r="159" spans="1:19" ht="30" x14ac:dyDescent="0.25">
      <c r="A159" s="7"/>
      <c r="B159" s="15" t="s">
        <v>195</v>
      </c>
      <c r="C159" s="11" t="s">
        <v>60</v>
      </c>
      <c r="D159" s="11" t="s">
        <v>151</v>
      </c>
      <c r="E159" s="11" t="s">
        <v>207</v>
      </c>
      <c r="F159" s="12">
        <v>0</v>
      </c>
      <c r="G159" s="14">
        <v>0</v>
      </c>
      <c r="H159" s="14">
        <v>332275</v>
      </c>
      <c r="I159" s="2">
        <f t="shared" si="20"/>
        <v>6</v>
      </c>
      <c r="J159" s="2">
        <f t="shared" si="29"/>
        <v>20</v>
      </c>
      <c r="K159" s="2">
        <f t="shared" si="22"/>
        <v>6</v>
      </c>
      <c r="L159" t="b" cm="1">
        <f t="array" ref="L159">BoldFont(H159)</f>
        <v>0</v>
      </c>
      <c r="M159" t="str">
        <f t="shared" si="21"/>
        <v>Crown Range - Chain Bay 4</v>
      </c>
      <c r="N159" t="str">
        <f t="shared" si="23"/>
        <v>Crown Range - Chain Bay 4</v>
      </c>
      <c r="O159" t="str">
        <f t="shared" si="24"/>
        <v>Construction</v>
      </c>
      <c r="P159" s="4">
        <f t="shared" si="25"/>
        <v>44949</v>
      </c>
      <c r="Q159" s="4">
        <f t="shared" si="26"/>
        <v>45016</v>
      </c>
      <c r="R159" s="5">
        <f t="shared" si="27"/>
        <v>0</v>
      </c>
      <c r="S159" s="5">
        <f t="shared" si="28"/>
        <v>332275</v>
      </c>
    </row>
    <row r="160" spans="1:19" ht="30" x14ac:dyDescent="0.25">
      <c r="A160" s="7"/>
      <c r="B160" s="11" t="s">
        <v>80</v>
      </c>
      <c r="C160" s="11" t="s">
        <v>116</v>
      </c>
      <c r="D160" s="11" t="s">
        <v>95</v>
      </c>
      <c r="E160" s="11" t="s">
        <v>95</v>
      </c>
      <c r="F160" s="12">
        <v>0</v>
      </c>
      <c r="G160" s="14">
        <v>0</v>
      </c>
      <c r="H160" s="14">
        <v>0</v>
      </c>
      <c r="I160" s="2">
        <f t="shared" si="20"/>
        <v>6</v>
      </c>
      <c r="J160" s="2">
        <f t="shared" si="29"/>
        <v>20</v>
      </c>
      <c r="K160" s="2">
        <f t="shared" si="22"/>
        <v>6</v>
      </c>
      <c r="L160" t="b" cm="1">
        <f t="array" ref="L160">BoldFont(H160)</f>
        <v>0</v>
      </c>
      <c r="M160" t="str">
        <f t="shared" si="21"/>
        <v>Crown Range - Chain Bay 4</v>
      </c>
      <c r="N160" t="str">
        <f t="shared" si="23"/>
        <v>Crown Range - Chain Bay 4</v>
      </c>
      <c r="O160" t="str">
        <f t="shared" si="24"/>
        <v>MSQA</v>
      </c>
      <c r="P160" s="4">
        <f t="shared" si="25"/>
        <v>44991</v>
      </c>
      <c r="Q160" s="4">
        <f t="shared" si="26"/>
        <v>44991</v>
      </c>
      <c r="R160" s="5">
        <f t="shared" si="27"/>
        <v>0</v>
      </c>
      <c r="S160" s="5">
        <f t="shared" si="28"/>
        <v>0</v>
      </c>
    </row>
    <row r="161" spans="1:19" ht="30" hidden="1" x14ac:dyDescent="0.25">
      <c r="A161" s="8">
        <v>152524</v>
      </c>
      <c r="B161" s="8" t="s">
        <v>169</v>
      </c>
      <c r="C161" s="8" t="s">
        <v>261</v>
      </c>
      <c r="D161" s="8" t="s">
        <v>107</v>
      </c>
      <c r="E161" s="8" t="s">
        <v>260</v>
      </c>
      <c r="F161" s="9">
        <v>0.74</v>
      </c>
      <c r="G161" s="10">
        <v>1476410</v>
      </c>
      <c r="H161" s="10">
        <v>1281400</v>
      </c>
      <c r="I161" s="2">
        <f t="shared" si="20"/>
        <v>3</v>
      </c>
      <c r="J161" s="2">
        <f t="shared" si="29"/>
        <v>21</v>
      </c>
      <c r="K161" s="2">
        <f t="shared" si="22"/>
        <v>6</v>
      </c>
      <c r="L161" t="b" cm="1">
        <f t="array" ref="L161">BoldFont(H161)</f>
        <v>1</v>
      </c>
      <c r="M161" t="str">
        <f t="shared" si="21"/>
        <v>Cardrona Valley Road Barriers</v>
      </c>
      <c r="N161" t="str">
        <f t="shared" si="23"/>
        <v>Crown Range - Chain Bay 4</v>
      </c>
      <c r="O161" t="str">
        <f t="shared" si="24"/>
        <v/>
      </c>
      <c r="P161" s="4">
        <f t="shared" si="25"/>
        <v>44879</v>
      </c>
      <c r="Q161" s="4">
        <f t="shared" si="26"/>
        <v>45233</v>
      </c>
      <c r="R161" s="5">
        <f t="shared" si="27"/>
        <v>1476410</v>
      </c>
      <c r="S161" s="5">
        <f t="shared" si="28"/>
        <v>1281400</v>
      </c>
    </row>
    <row r="162" spans="1:19" ht="30" x14ac:dyDescent="0.25">
      <c r="A162" s="7"/>
      <c r="B162" s="15" t="s">
        <v>111</v>
      </c>
      <c r="C162" s="11" t="s">
        <v>167</v>
      </c>
      <c r="D162" s="11" t="s">
        <v>107</v>
      </c>
      <c r="E162" s="11" t="s">
        <v>168</v>
      </c>
      <c r="F162" s="12">
        <v>1</v>
      </c>
      <c r="G162" s="14">
        <v>0</v>
      </c>
      <c r="H162" s="14">
        <v>12000</v>
      </c>
      <c r="I162" s="2">
        <f t="shared" si="20"/>
        <v>6</v>
      </c>
      <c r="J162" s="2">
        <f t="shared" si="29"/>
        <v>21</v>
      </c>
      <c r="K162" s="2">
        <f t="shared" si="22"/>
        <v>6</v>
      </c>
      <c r="L162" t="b" cm="1">
        <f t="array" ref="L162">BoldFont(H162)</f>
        <v>0</v>
      </c>
      <c r="M162" t="str">
        <f t="shared" si="21"/>
        <v>Cardrona Valley Road Barriers</v>
      </c>
      <c r="N162" t="str">
        <f t="shared" si="23"/>
        <v>Cardrona Valley Road Barriers</v>
      </c>
      <c r="O162" t="str">
        <f t="shared" si="24"/>
        <v>Concept Design including investigations and consultations where applicable</v>
      </c>
      <c r="P162" s="4">
        <f t="shared" si="25"/>
        <v>44879</v>
      </c>
      <c r="Q162" s="4">
        <f t="shared" si="26"/>
        <v>44897</v>
      </c>
      <c r="R162" s="5">
        <f t="shared" si="27"/>
        <v>0</v>
      </c>
      <c r="S162" s="5">
        <f t="shared" si="28"/>
        <v>12000</v>
      </c>
    </row>
    <row r="163" spans="1:19" ht="30" x14ac:dyDescent="0.25">
      <c r="A163" s="7"/>
      <c r="B163" s="15" t="s">
        <v>73</v>
      </c>
      <c r="C163" s="11" t="s">
        <v>60</v>
      </c>
      <c r="D163" s="11" t="s">
        <v>217</v>
      </c>
      <c r="E163" s="11" t="s">
        <v>108</v>
      </c>
      <c r="F163" s="12">
        <v>1</v>
      </c>
      <c r="G163" s="14">
        <v>22600</v>
      </c>
      <c r="H163" s="14">
        <v>76884</v>
      </c>
      <c r="I163" s="2">
        <f t="shared" si="20"/>
        <v>6</v>
      </c>
      <c r="J163" s="2">
        <f t="shared" si="29"/>
        <v>21</v>
      </c>
      <c r="K163" s="2">
        <f t="shared" si="22"/>
        <v>6</v>
      </c>
      <c r="L163" t="b" cm="1">
        <f t="array" ref="L163">BoldFont(H163)</f>
        <v>0</v>
      </c>
      <c r="M163" t="str">
        <f t="shared" si="21"/>
        <v>Cardrona Valley Road Barriers</v>
      </c>
      <c r="N163" t="str">
        <f t="shared" si="23"/>
        <v>Cardrona Valley Road Barriers</v>
      </c>
      <c r="O163" t="str">
        <f t="shared" si="24"/>
        <v>Detailed Design</v>
      </c>
      <c r="P163" s="4">
        <f t="shared" si="25"/>
        <v>44921</v>
      </c>
      <c r="Q163" s="4">
        <f t="shared" si="26"/>
        <v>44988</v>
      </c>
      <c r="R163" s="5">
        <f t="shared" si="27"/>
        <v>22600</v>
      </c>
      <c r="S163" s="5">
        <f t="shared" si="28"/>
        <v>76884</v>
      </c>
    </row>
    <row r="164" spans="1:19" ht="30" x14ac:dyDescent="0.25">
      <c r="A164" s="7"/>
      <c r="B164" s="11" t="s">
        <v>76</v>
      </c>
      <c r="C164" s="11" t="s">
        <v>89</v>
      </c>
      <c r="D164" s="11" t="s">
        <v>143</v>
      </c>
      <c r="E164" s="11" t="s">
        <v>144</v>
      </c>
      <c r="F164" s="12">
        <v>1</v>
      </c>
      <c r="G164" s="14">
        <v>0</v>
      </c>
      <c r="H164" s="14">
        <v>0</v>
      </c>
      <c r="I164" s="2">
        <f t="shared" si="20"/>
        <v>6</v>
      </c>
      <c r="J164" s="2">
        <f t="shared" si="29"/>
        <v>21</v>
      </c>
      <c r="K164" s="2">
        <f t="shared" si="22"/>
        <v>6</v>
      </c>
      <c r="L164" t="b" cm="1">
        <f t="array" ref="L164">BoldFont(H164)</f>
        <v>0</v>
      </c>
      <c r="M164" t="str">
        <f t="shared" si="21"/>
        <v>Cardrona Valley Road Barriers</v>
      </c>
      <c r="N164" t="str">
        <f t="shared" si="23"/>
        <v>Cardrona Valley Road Barriers</v>
      </c>
      <c r="O164" t="str">
        <f t="shared" si="24"/>
        <v>Tender</v>
      </c>
      <c r="P164" s="4">
        <f t="shared" si="25"/>
        <v>45040</v>
      </c>
      <c r="Q164" s="4">
        <f t="shared" si="26"/>
        <v>45093</v>
      </c>
      <c r="R164" s="5">
        <f t="shared" si="27"/>
        <v>0</v>
      </c>
      <c r="S164" s="5">
        <f t="shared" si="28"/>
        <v>0</v>
      </c>
    </row>
    <row r="165" spans="1:19" ht="30" x14ac:dyDescent="0.25">
      <c r="A165" s="7"/>
      <c r="B165" s="11" t="s">
        <v>80</v>
      </c>
      <c r="C165" s="11" t="s">
        <v>81</v>
      </c>
      <c r="D165" s="11" t="s">
        <v>145</v>
      </c>
      <c r="E165" s="11" t="s">
        <v>260</v>
      </c>
      <c r="F165" s="12">
        <v>0.6</v>
      </c>
      <c r="G165" s="14">
        <v>31800</v>
      </c>
      <c r="H165" s="14">
        <v>0</v>
      </c>
      <c r="I165" s="2">
        <f t="shared" si="20"/>
        <v>6</v>
      </c>
      <c r="J165" s="2">
        <f t="shared" si="29"/>
        <v>21</v>
      </c>
      <c r="K165" s="2">
        <f t="shared" si="22"/>
        <v>6</v>
      </c>
      <c r="L165" t="b" cm="1">
        <f t="array" ref="L165">BoldFont(H165)</f>
        <v>0</v>
      </c>
      <c r="M165" t="str">
        <f t="shared" si="21"/>
        <v>Cardrona Valley Road Barriers</v>
      </c>
      <c r="N165" t="str">
        <f t="shared" si="23"/>
        <v>Cardrona Valley Road Barriers</v>
      </c>
      <c r="O165" t="str">
        <f t="shared" si="24"/>
        <v>MSQA</v>
      </c>
      <c r="P165" s="4">
        <f t="shared" si="25"/>
        <v>45096</v>
      </c>
      <c r="Q165" s="4">
        <f t="shared" si="26"/>
        <v>45233</v>
      </c>
      <c r="R165" s="5">
        <f t="shared" si="27"/>
        <v>31800</v>
      </c>
      <c r="S165" s="5">
        <f t="shared" si="28"/>
        <v>0</v>
      </c>
    </row>
    <row r="166" spans="1:19" ht="30" x14ac:dyDescent="0.25">
      <c r="A166" s="7"/>
      <c r="B166" s="15" t="s">
        <v>195</v>
      </c>
      <c r="C166" s="11" t="s">
        <v>81</v>
      </c>
      <c r="D166" s="11" t="s">
        <v>145</v>
      </c>
      <c r="E166" s="11" t="s">
        <v>260</v>
      </c>
      <c r="F166" s="12">
        <v>0.6</v>
      </c>
      <c r="G166" s="14">
        <v>1422010</v>
      </c>
      <c r="H166" s="14">
        <v>1192516</v>
      </c>
      <c r="I166" s="2">
        <f t="shared" si="20"/>
        <v>6</v>
      </c>
      <c r="J166" s="2">
        <f t="shared" si="29"/>
        <v>21</v>
      </c>
      <c r="K166" s="2">
        <f t="shared" si="22"/>
        <v>6</v>
      </c>
      <c r="L166" t="b" cm="1">
        <f t="array" ref="L166">BoldFont(H166)</f>
        <v>0</v>
      </c>
      <c r="M166" t="str">
        <f t="shared" si="21"/>
        <v>Cardrona Valley Road Barriers</v>
      </c>
      <c r="N166" t="str">
        <f t="shared" si="23"/>
        <v>Cardrona Valley Road Barriers</v>
      </c>
      <c r="O166" t="str">
        <f t="shared" si="24"/>
        <v>Construction</v>
      </c>
      <c r="P166" s="4">
        <f t="shared" si="25"/>
        <v>45096</v>
      </c>
      <c r="Q166" s="4">
        <f t="shared" si="26"/>
        <v>45233</v>
      </c>
      <c r="R166" s="5">
        <f t="shared" si="27"/>
        <v>1422010</v>
      </c>
      <c r="S166" s="5">
        <f t="shared" si="28"/>
        <v>1192516</v>
      </c>
    </row>
    <row r="167" spans="1:19" ht="30" hidden="1" x14ac:dyDescent="0.25">
      <c r="A167" s="8">
        <v>152524</v>
      </c>
      <c r="B167" s="8" t="s">
        <v>170</v>
      </c>
      <c r="C167" s="8" t="s">
        <v>214</v>
      </c>
      <c r="D167" s="8" t="s">
        <v>79</v>
      </c>
      <c r="E167" s="8" t="s">
        <v>262</v>
      </c>
      <c r="F167" s="9">
        <v>1</v>
      </c>
      <c r="G167" s="10">
        <v>41822</v>
      </c>
      <c r="H167" s="10">
        <v>16250</v>
      </c>
      <c r="I167" s="2">
        <f t="shared" si="20"/>
        <v>3</v>
      </c>
      <c r="J167" s="2">
        <f t="shared" si="29"/>
        <v>22</v>
      </c>
      <c r="K167" s="2">
        <f t="shared" si="22"/>
        <v>6</v>
      </c>
      <c r="L167" t="b" cm="1">
        <f t="array" ref="L167">BoldFont(H167)</f>
        <v>1</v>
      </c>
      <c r="M167" t="str">
        <f t="shared" si="21"/>
        <v>Wanaka Maintenance '22</v>
      </c>
      <c r="N167" t="str">
        <f t="shared" si="23"/>
        <v>Cardrona Valley Road Barriers</v>
      </c>
      <c r="O167" t="str">
        <f t="shared" si="24"/>
        <v/>
      </c>
      <c r="P167" s="4">
        <f t="shared" si="25"/>
        <v>44883</v>
      </c>
      <c r="Q167" s="4">
        <f t="shared" si="26"/>
        <v>45204</v>
      </c>
      <c r="R167" s="5">
        <f t="shared" si="27"/>
        <v>41822</v>
      </c>
      <c r="S167" s="5">
        <f t="shared" si="28"/>
        <v>16250</v>
      </c>
    </row>
    <row r="168" spans="1:19" ht="30" x14ac:dyDescent="0.25">
      <c r="A168" s="7"/>
      <c r="B168" s="15" t="s">
        <v>111</v>
      </c>
      <c r="C168" s="11" t="s">
        <v>167</v>
      </c>
      <c r="D168" s="11" t="s">
        <v>79</v>
      </c>
      <c r="E168" s="11" t="s">
        <v>101</v>
      </c>
      <c r="F168" s="12">
        <v>1</v>
      </c>
      <c r="G168" s="14">
        <v>6000</v>
      </c>
      <c r="H168" s="14">
        <v>12000</v>
      </c>
      <c r="I168" s="2">
        <f t="shared" si="20"/>
        <v>6</v>
      </c>
      <c r="J168" s="2">
        <f t="shared" si="29"/>
        <v>22</v>
      </c>
      <c r="K168" s="2">
        <f t="shared" si="22"/>
        <v>6</v>
      </c>
      <c r="L168" t="b" cm="1">
        <f t="array" ref="L168">BoldFont(H168)</f>
        <v>0</v>
      </c>
      <c r="M168" t="str">
        <f t="shared" si="21"/>
        <v>Wanaka Maintenance '22</v>
      </c>
      <c r="N168" t="str">
        <f t="shared" si="23"/>
        <v>Wanaka Maintenance '22</v>
      </c>
      <c r="O168" t="str">
        <f t="shared" si="24"/>
        <v>Concept Design including investigations and consultations where applicable</v>
      </c>
      <c r="P168" s="4">
        <f t="shared" si="25"/>
        <v>44883</v>
      </c>
      <c r="Q168" s="4">
        <f t="shared" si="26"/>
        <v>44903</v>
      </c>
      <c r="R168" s="5">
        <f t="shared" si="27"/>
        <v>6000</v>
      </c>
      <c r="S168" s="5">
        <f t="shared" si="28"/>
        <v>12000</v>
      </c>
    </row>
    <row r="169" spans="1:19" ht="30" x14ac:dyDescent="0.25">
      <c r="A169" s="7"/>
      <c r="B169" s="15" t="s">
        <v>73</v>
      </c>
      <c r="C169" s="11" t="s">
        <v>167</v>
      </c>
      <c r="D169" s="11" t="s">
        <v>171</v>
      </c>
      <c r="E169" s="11" t="s">
        <v>172</v>
      </c>
      <c r="F169" s="12">
        <v>1</v>
      </c>
      <c r="G169" s="14">
        <v>0</v>
      </c>
      <c r="H169" s="14">
        <v>975</v>
      </c>
      <c r="I169" s="2">
        <f t="shared" si="20"/>
        <v>6</v>
      </c>
      <c r="J169" s="2">
        <f t="shared" si="29"/>
        <v>22</v>
      </c>
      <c r="K169" s="2">
        <f t="shared" si="22"/>
        <v>6</v>
      </c>
      <c r="L169" t="b" cm="1">
        <f t="array" ref="L169">BoldFont(H169)</f>
        <v>0</v>
      </c>
      <c r="M169" t="str">
        <f t="shared" si="21"/>
        <v>Wanaka Maintenance '22</v>
      </c>
      <c r="N169" t="str">
        <f t="shared" si="23"/>
        <v>Wanaka Maintenance '22</v>
      </c>
      <c r="O169" t="str">
        <f t="shared" si="24"/>
        <v>Detailed Design</v>
      </c>
      <c r="P169" s="4">
        <f t="shared" si="25"/>
        <v>44904</v>
      </c>
      <c r="Q169" s="4">
        <f t="shared" si="26"/>
        <v>44924</v>
      </c>
      <c r="R169" s="5">
        <f t="shared" si="27"/>
        <v>0</v>
      </c>
      <c r="S169" s="5">
        <f t="shared" si="28"/>
        <v>975</v>
      </c>
    </row>
    <row r="170" spans="1:19" ht="30" x14ac:dyDescent="0.25">
      <c r="A170" s="7"/>
      <c r="B170" s="11" t="s">
        <v>80</v>
      </c>
      <c r="C170" s="11" t="s">
        <v>42</v>
      </c>
      <c r="D170" s="11" t="s">
        <v>62</v>
      </c>
      <c r="E170" s="11" t="s">
        <v>262</v>
      </c>
      <c r="F170" s="12">
        <v>1</v>
      </c>
      <c r="G170" s="14">
        <v>0</v>
      </c>
      <c r="H170" s="14">
        <v>0</v>
      </c>
      <c r="I170" s="2">
        <f t="shared" si="20"/>
        <v>6</v>
      </c>
      <c r="J170" s="2">
        <f t="shared" si="29"/>
        <v>22</v>
      </c>
      <c r="K170" s="2">
        <f t="shared" si="22"/>
        <v>6</v>
      </c>
      <c r="L170" t="b" cm="1">
        <f t="array" ref="L170">BoldFont(H170)</f>
        <v>0</v>
      </c>
      <c r="M170" t="str">
        <f t="shared" si="21"/>
        <v>Wanaka Maintenance '22</v>
      </c>
      <c r="N170" t="str">
        <f t="shared" si="23"/>
        <v>Wanaka Maintenance '22</v>
      </c>
      <c r="O170" t="str">
        <f t="shared" si="24"/>
        <v>MSQA</v>
      </c>
      <c r="P170" s="4">
        <f t="shared" si="25"/>
        <v>45177</v>
      </c>
      <c r="Q170" s="4">
        <f t="shared" si="26"/>
        <v>45204</v>
      </c>
      <c r="R170" s="5">
        <f t="shared" si="27"/>
        <v>0</v>
      </c>
      <c r="S170" s="5">
        <f t="shared" si="28"/>
        <v>0</v>
      </c>
    </row>
    <row r="171" spans="1:19" ht="30" x14ac:dyDescent="0.25">
      <c r="A171" s="7"/>
      <c r="B171" s="15" t="s">
        <v>118</v>
      </c>
      <c r="C171" s="11" t="s">
        <v>42</v>
      </c>
      <c r="D171" s="11" t="s">
        <v>62</v>
      </c>
      <c r="E171" s="11" t="s">
        <v>262</v>
      </c>
      <c r="F171" s="12">
        <v>1</v>
      </c>
      <c r="G171" s="14">
        <v>35822</v>
      </c>
      <c r="H171" s="14">
        <v>3275</v>
      </c>
      <c r="I171" s="2">
        <f t="shared" si="20"/>
        <v>6</v>
      </c>
      <c r="J171" s="2">
        <f t="shared" si="29"/>
        <v>22</v>
      </c>
      <c r="K171" s="2">
        <f t="shared" si="22"/>
        <v>6</v>
      </c>
      <c r="L171" t="b" cm="1">
        <f t="array" ref="L171">BoldFont(H171)</f>
        <v>0</v>
      </c>
      <c r="M171" t="str">
        <f t="shared" si="21"/>
        <v>Wanaka Maintenance '22</v>
      </c>
      <c r="N171" t="str">
        <f t="shared" si="23"/>
        <v>Wanaka Maintenance '22</v>
      </c>
      <c r="O171" t="str">
        <f t="shared" si="24"/>
        <v>Construction - Maintenance</v>
      </c>
      <c r="P171" s="4">
        <f t="shared" si="25"/>
        <v>45177</v>
      </c>
      <c r="Q171" s="4">
        <f t="shared" si="26"/>
        <v>45204</v>
      </c>
      <c r="R171" s="5">
        <f t="shared" si="27"/>
        <v>35822</v>
      </c>
      <c r="S171" s="5">
        <f t="shared" si="28"/>
        <v>3275</v>
      </c>
    </row>
    <row r="172" spans="1:19" ht="30" hidden="1" x14ac:dyDescent="0.25">
      <c r="A172" s="8">
        <v>152546</v>
      </c>
      <c r="B172" s="8" t="s">
        <v>173</v>
      </c>
      <c r="C172" s="8" t="s">
        <v>64</v>
      </c>
      <c r="D172" s="8" t="s">
        <v>174</v>
      </c>
      <c r="E172" s="8" t="s">
        <v>175</v>
      </c>
      <c r="F172" s="9">
        <v>0</v>
      </c>
      <c r="G172" s="10">
        <v>0</v>
      </c>
      <c r="H172" s="10">
        <v>47000</v>
      </c>
      <c r="I172" s="2">
        <f t="shared" si="20"/>
        <v>3</v>
      </c>
      <c r="J172" s="2">
        <f t="shared" si="29"/>
        <v>23</v>
      </c>
      <c r="K172" s="2">
        <f t="shared" si="22"/>
        <v>6</v>
      </c>
      <c r="L172" t="b" cm="1">
        <f t="array" ref="L172">BoldFont(H172)</f>
        <v>1</v>
      </c>
      <c r="M172" t="str">
        <f t="shared" si="21"/>
        <v>Queenstown Maintenance</v>
      </c>
      <c r="N172" t="str">
        <f t="shared" si="23"/>
        <v>Wanaka Maintenance '22</v>
      </c>
      <c r="O172" t="str">
        <f t="shared" si="24"/>
        <v/>
      </c>
      <c r="P172" s="4">
        <f t="shared" si="25"/>
        <v>45107</v>
      </c>
      <c r="Q172" s="4">
        <f t="shared" si="26"/>
        <v>45218</v>
      </c>
      <c r="R172" s="5">
        <f t="shared" si="27"/>
        <v>0</v>
      </c>
      <c r="S172" s="5">
        <f t="shared" si="28"/>
        <v>47000</v>
      </c>
    </row>
    <row r="173" spans="1:19" ht="30" x14ac:dyDescent="0.25">
      <c r="A173" s="7"/>
      <c r="B173" s="15" t="s">
        <v>111</v>
      </c>
      <c r="C173" s="11" t="s">
        <v>42</v>
      </c>
      <c r="D173" s="11" t="s">
        <v>174</v>
      </c>
      <c r="E173" s="11" t="s">
        <v>176</v>
      </c>
      <c r="F173" s="12">
        <v>0</v>
      </c>
      <c r="G173" s="14">
        <v>0</v>
      </c>
      <c r="H173" s="14">
        <v>12000</v>
      </c>
      <c r="I173" s="2">
        <f t="shared" si="20"/>
        <v>6</v>
      </c>
      <c r="J173" s="2">
        <f t="shared" si="29"/>
        <v>23</v>
      </c>
      <c r="K173" s="2">
        <f t="shared" si="22"/>
        <v>6</v>
      </c>
      <c r="L173" t="b" cm="1">
        <f t="array" ref="L173">BoldFont(H173)</f>
        <v>0</v>
      </c>
      <c r="M173" t="str">
        <f t="shared" si="21"/>
        <v>Queenstown Maintenance</v>
      </c>
      <c r="N173" t="str">
        <f t="shared" si="23"/>
        <v>Queenstown Maintenance</v>
      </c>
      <c r="O173" t="str">
        <f t="shared" si="24"/>
        <v>Concept Design including investigations and consultations where applicable</v>
      </c>
      <c r="P173" s="4">
        <f t="shared" si="25"/>
        <v>45107</v>
      </c>
      <c r="Q173" s="4">
        <f t="shared" si="26"/>
        <v>45134</v>
      </c>
      <c r="R173" s="5">
        <f t="shared" si="27"/>
        <v>0</v>
      </c>
      <c r="S173" s="5">
        <f t="shared" si="28"/>
        <v>12000</v>
      </c>
    </row>
    <row r="174" spans="1:19" ht="30" x14ac:dyDescent="0.25">
      <c r="A174" s="7"/>
      <c r="B174" s="15" t="s">
        <v>73</v>
      </c>
      <c r="C174" s="11" t="s">
        <v>37</v>
      </c>
      <c r="D174" s="11" t="s">
        <v>177</v>
      </c>
      <c r="E174" s="11" t="s">
        <v>61</v>
      </c>
      <c r="F174" s="12">
        <v>0</v>
      </c>
      <c r="G174" s="14">
        <v>0</v>
      </c>
      <c r="H174" s="14">
        <v>2820</v>
      </c>
      <c r="I174" s="2">
        <f t="shared" si="20"/>
        <v>6</v>
      </c>
      <c r="J174" s="2">
        <f t="shared" si="29"/>
        <v>23</v>
      </c>
      <c r="K174" s="2">
        <f t="shared" si="22"/>
        <v>6</v>
      </c>
      <c r="L174" t="b" cm="1">
        <f t="array" ref="L174">BoldFont(H174)</f>
        <v>0</v>
      </c>
      <c r="M174" t="str">
        <f t="shared" si="21"/>
        <v>Queenstown Maintenance</v>
      </c>
      <c r="N174" t="str">
        <f t="shared" si="23"/>
        <v>Queenstown Maintenance</v>
      </c>
      <c r="O174" t="str">
        <f t="shared" si="24"/>
        <v>Detailed Design</v>
      </c>
      <c r="P174" s="4">
        <f t="shared" si="25"/>
        <v>45135</v>
      </c>
      <c r="Q174" s="4">
        <f t="shared" si="26"/>
        <v>45176</v>
      </c>
      <c r="R174" s="5">
        <f t="shared" si="27"/>
        <v>0</v>
      </c>
      <c r="S174" s="5">
        <f t="shared" si="28"/>
        <v>2820</v>
      </c>
    </row>
    <row r="175" spans="1:19" ht="30" x14ac:dyDescent="0.25">
      <c r="A175" s="7"/>
      <c r="B175" s="11" t="s">
        <v>80</v>
      </c>
      <c r="C175" s="11" t="s">
        <v>37</v>
      </c>
      <c r="D175" s="11" t="s">
        <v>62</v>
      </c>
      <c r="E175" s="11" t="s">
        <v>175</v>
      </c>
      <c r="F175" s="12">
        <v>0</v>
      </c>
      <c r="G175" s="14">
        <v>0</v>
      </c>
      <c r="H175" s="14">
        <v>0</v>
      </c>
      <c r="I175" s="2">
        <f t="shared" si="20"/>
        <v>6</v>
      </c>
      <c r="J175" s="2">
        <f t="shared" si="29"/>
        <v>23</v>
      </c>
      <c r="K175" s="2">
        <f t="shared" si="22"/>
        <v>6</v>
      </c>
      <c r="L175" t="b" cm="1">
        <f t="array" ref="L175">BoldFont(H175)</f>
        <v>0</v>
      </c>
      <c r="M175" t="str">
        <f t="shared" si="21"/>
        <v>Queenstown Maintenance</v>
      </c>
      <c r="N175" t="str">
        <f t="shared" si="23"/>
        <v>Queenstown Maintenance</v>
      </c>
      <c r="O175" t="str">
        <f t="shared" si="24"/>
        <v>MSQA</v>
      </c>
      <c r="P175" s="4">
        <f t="shared" si="25"/>
        <v>45177</v>
      </c>
      <c r="Q175" s="4">
        <f t="shared" si="26"/>
        <v>45218</v>
      </c>
      <c r="R175" s="5">
        <f t="shared" si="27"/>
        <v>0</v>
      </c>
      <c r="S175" s="5">
        <f t="shared" si="28"/>
        <v>0</v>
      </c>
    </row>
    <row r="176" spans="1:19" ht="30" x14ac:dyDescent="0.25">
      <c r="A176" s="7"/>
      <c r="B176" s="16" t="s">
        <v>118</v>
      </c>
      <c r="C176" s="11" t="s">
        <v>37</v>
      </c>
      <c r="D176" s="11" t="s">
        <v>62</v>
      </c>
      <c r="E176" s="11" t="s">
        <v>175</v>
      </c>
      <c r="F176" s="12">
        <v>0</v>
      </c>
      <c r="G176" s="14">
        <v>0</v>
      </c>
      <c r="H176" s="14">
        <v>32180</v>
      </c>
      <c r="I176" s="2">
        <f t="shared" si="20"/>
        <v>6</v>
      </c>
      <c r="J176" s="2">
        <f t="shared" si="29"/>
        <v>23</v>
      </c>
      <c r="K176" s="2">
        <f t="shared" si="22"/>
        <v>6</v>
      </c>
      <c r="L176" t="b" cm="1">
        <f t="array" ref="L176">BoldFont(H176)</f>
        <v>0</v>
      </c>
      <c r="M176" t="str">
        <f t="shared" si="21"/>
        <v>Queenstown Maintenance</v>
      </c>
      <c r="N176" t="str">
        <f t="shared" si="23"/>
        <v>Queenstown Maintenance</v>
      </c>
      <c r="O176" t="str">
        <f t="shared" si="24"/>
        <v>Construction - Maintenance</v>
      </c>
      <c r="P176" s="4">
        <f t="shared" si="25"/>
        <v>45177</v>
      </c>
      <c r="Q176" s="4">
        <f t="shared" si="26"/>
        <v>45218</v>
      </c>
      <c r="R176" s="5">
        <f t="shared" si="27"/>
        <v>0</v>
      </c>
      <c r="S176" s="5">
        <f t="shared" si="28"/>
        <v>32180</v>
      </c>
    </row>
    <row r="177" spans="1:19" ht="30" hidden="1" x14ac:dyDescent="0.25">
      <c r="A177" s="8">
        <v>152524</v>
      </c>
      <c r="B177" s="8" t="s">
        <v>178</v>
      </c>
      <c r="C177" s="8" t="s">
        <v>140</v>
      </c>
      <c r="D177" s="8" t="s">
        <v>65</v>
      </c>
      <c r="E177" s="8" t="s">
        <v>179</v>
      </c>
      <c r="F177" s="9">
        <v>0</v>
      </c>
      <c r="G177" s="10">
        <v>0</v>
      </c>
      <c r="H177" s="10">
        <v>315000</v>
      </c>
      <c r="I177" s="2">
        <f t="shared" si="20"/>
        <v>3</v>
      </c>
      <c r="J177" s="2">
        <f t="shared" si="29"/>
        <v>24</v>
      </c>
      <c r="K177" s="2">
        <f t="shared" si="22"/>
        <v>6</v>
      </c>
      <c r="L177" t="b" cm="1">
        <f t="array" ref="L177">BoldFont(H177)</f>
        <v>1</v>
      </c>
      <c r="M177" t="str">
        <f t="shared" si="21"/>
        <v>Orchard Studholme</v>
      </c>
      <c r="N177" t="str">
        <f t="shared" si="23"/>
        <v>Queenstown Maintenance</v>
      </c>
      <c r="O177" t="str">
        <f t="shared" si="24"/>
        <v/>
      </c>
      <c r="P177" s="4">
        <f t="shared" si="25"/>
        <v>45110</v>
      </c>
      <c r="Q177" s="4">
        <f t="shared" si="26"/>
        <v>45306</v>
      </c>
      <c r="R177" s="5">
        <f t="shared" si="27"/>
        <v>0</v>
      </c>
      <c r="S177" s="5">
        <f t="shared" si="28"/>
        <v>315000</v>
      </c>
    </row>
    <row r="178" spans="1:19" ht="30" x14ac:dyDescent="0.25">
      <c r="A178" s="7"/>
      <c r="B178" s="15" t="s">
        <v>111</v>
      </c>
      <c r="C178" s="11" t="s">
        <v>116</v>
      </c>
      <c r="D178" s="11" t="s">
        <v>65</v>
      </c>
      <c r="E178" s="11" t="s">
        <v>65</v>
      </c>
      <c r="F178" s="12">
        <v>0</v>
      </c>
      <c r="G178" s="14">
        <v>0</v>
      </c>
      <c r="H178" s="14">
        <v>12000</v>
      </c>
      <c r="I178" s="2">
        <f t="shared" si="20"/>
        <v>6</v>
      </c>
      <c r="J178" s="2">
        <f t="shared" si="29"/>
        <v>24</v>
      </c>
      <c r="K178" s="2">
        <f t="shared" si="22"/>
        <v>6</v>
      </c>
      <c r="L178" t="b" cm="1">
        <f t="array" ref="L178">BoldFont(H178)</f>
        <v>0</v>
      </c>
      <c r="M178" t="str">
        <f t="shared" si="21"/>
        <v>Orchard Studholme</v>
      </c>
      <c r="N178" t="str">
        <f t="shared" si="23"/>
        <v>Orchard Studholme</v>
      </c>
      <c r="O178" t="str">
        <f t="shared" si="24"/>
        <v>Concept Design including investigations and consultations where applicable</v>
      </c>
      <c r="P178" s="4">
        <f t="shared" si="25"/>
        <v>45110</v>
      </c>
      <c r="Q178" s="4">
        <f t="shared" si="26"/>
        <v>45110</v>
      </c>
      <c r="R178" s="5">
        <f t="shared" si="27"/>
        <v>0</v>
      </c>
      <c r="S178" s="5">
        <f t="shared" si="28"/>
        <v>12000</v>
      </c>
    </row>
    <row r="179" spans="1:19" ht="30" x14ac:dyDescent="0.25">
      <c r="A179" s="7"/>
      <c r="B179" s="15" t="s">
        <v>73</v>
      </c>
      <c r="C179" s="11" t="s">
        <v>116</v>
      </c>
      <c r="D179" s="11" t="s">
        <v>65</v>
      </c>
      <c r="E179" s="11" t="s">
        <v>65</v>
      </c>
      <c r="F179" s="12">
        <v>0</v>
      </c>
      <c r="G179" s="14">
        <v>0</v>
      </c>
      <c r="H179" s="14">
        <v>18900</v>
      </c>
      <c r="I179" s="2">
        <f t="shared" si="20"/>
        <v>6</v>
      </c>
      <c r="J179" s="2">
        <f t="shared" si="29"/>
        <v>24</v>
      </c>
      <c r="K179" s="2">
        <f t="shared" si="22"/>
        <v>6</v>
      </c>
      <c r="L179" t="b" cm="1">
        <f t="array" ref="L179">BoldFont(H179)</f>
        <v>0</v>
      </c>
      <c r="M179" t="str">
        <f t="shared" si="21"/>
        <v>Orchard Studholme</v>
      </c>
      <c r="N179" t="str">
        <f t="shared" si="23"/>
        <v>Orchard Studholme</v>
      </c>
      <c r="O179" t="str">
        <f t="shared" si="24"/>
        <v>Detailed Design</v>
      </c>
      <c r="P179" s="4">
        <f t="shared" si="25"/>
        <v>45110</v>
      </c>
      <c r="Q179" s="4">
        <f t="shared" si="26"/>
        <v>45110</v>
      </c>
      <c r="R179" s="5">
        <f t="shared" si="27"/>
        <v>0</v>
      </c>
      <c r="S179" s="5">
        <f t="shared" si="28"/>
        <v>18900</v>
      </c>
    </row>
    <row r="180" spans="1:19" ht="30" x14ac:dyDescent="0.25">
      <c r="A180" s="7"/>
      <c r="B180" s="15" t="s">
        <v>76</v>
      </c>
      <c r="C180" s="11" t="s">
        <v>116</v>
      </c>
      <c r="D180" s="11" t="s">
        <v>180</v>
      </c>
      <c r="E180" s="11" t="s">
        <v>180</v>
      </c>
      <c r="F180" s="12">
        <v>0</v>
      </c>
      <c r="G180" s="14">
        <v>0</v>
      </c>
      <c r="H180" s="14">
        <v>0</v>
      </c>
      <c r="I180" s="2">
        <f t="shared" si="20"/>
        <v>6</v>
      </c>
      <c r="J180" s="2">
        <f t="shared" si="29"/>
        <v>24</v>
      </c>
      <c r="K180" s="2">
        <f t="shared" si="22"/>
        <v>6</v>
      </c>
      <c r="L180" t="b" cm="1">
        <f t="array" ref="L180">BoldFont(H180)</f>
        <v>0</v>
      </c>
      <c r="M180" t="str">
        <f t="shared" si="21"/>
        <v>Orchard Studholme</v>
      </c>
      <c r="N180" t="str">
        <f t="shared" si="23"/>
        <v>Orchard Studholme</v>
      </c>
      <c r="O180" t="str">
        <f t="shared" si="24"/>
        <v>Tender</v>
      </c>
      <c r="P180" s="4">
        <f t="shared" si="25"/>
        <v>45264</v>
      </c>
      <c r="Q180" s="4">
        <f t="shared" si="26"/>
        <v>45264</v>
      </c>
      <c r="R180" s="5">
        <f t="shared" si="27"/>
        <v>0</v>
      </c>
      <c r="S180" s="5">
        <f t="shared" si="28"/>
        <v>0</v>
      </c>
    </row>
    <row r="181" spans="1:19" ht="30" x14ac:dyDescent="0.25">
      <c r="A181" s="7"/>
      <c r="B181" s="15" t="s">
        <v>83</v>
      </c>
      <c r="C181" s="11" t="s">
        <v>116</v>
      </c>
      <c r="D181" s="11" t="s">
        <v>180</v>
      </c>
      <c r="E181" s="11" t="s">
        <v>180</v>
      </c>
      <c r="F181" s="12">
        <v>0</v>
      </c>
      <c r="G181" s="14">
        <v>0</v>
      </c>
      <c r="H181" s="14">
        <v>284100</v>
      </c>
      <c r="I181" s="2">
        <f t="shared" si="20"/>
        <v>6</v>
      </c>
      <c r="J181" s="2">
        <f t="shared" si="29"/>
        <v>24</v>
      </c>
      <c r="K181" s="2">
        <f t="shared" si="22"/>
        <v>6</v>
      </c>
      <c r="L181" t="b" cm="1">
        <f t="array" ref="L181">BoldFont(H181)</f>
        <v>0</v>
      </c>
      <c r="M181" t="str">
        <f t="shared" si="21"/>
        <v>Orchard Studholme</v>
      </c>
      <c r="N181" t="str">
        <f t="shared" si="23"/>
        <v>Orchard Studholme</v>
      </c>
      <c r="O181" t="str">
        <f t="shared" si="24"/>
        <v>Construction</v>
      </c>
      <c r="P181" s="4">
        <f t="shared" si="25"/>
        <v>45264</v>
      </c>
      <c r="Q181" s="4">
        <f t="shared" si="26"/>
        <v>45264</v>
      </c>
      <c r="R181" s="5">
        <f t="shared" si="27"/>
        <v>0</v>
      </c>
      <c r="S181" s="5">
        <f t="shared" si="28"/>
        <v>284100</v>
      </c>
    </row>
    <row r="182" spans="1:19" ht="30" x14ac:dyDescent="0.25">
      <c r="A182" s="7"/>
      <c r="B182" s="11" t="s">
        <v>80</v>
      </c>
      <c r="C182" s="11" t="s">
        <v>116</v>
      </c>
      <c r="D182" s="11" t="s">
        <v>179</v>
      </c>
      <c r="E182" s="11" t="s">
        <v>179</v>
      </c>
      <c r="F182" s="12">
        <v>0</v>
      </c>
      <c r="G182" s="14">
        <v>0</v>
      </c>
      <c r="H182" s="14">
        <v>0</v>
      </c>
      <c r="I182" s="2">
        <f t="shared" si="20"/>
        <v>6</v>
      </c>
      <c r="J182" s="2">
        <f t="shared" si="29"/>
        <v>24</v>
      </c>
      <c r="K182" s="2">
        <f t="shared" si="22"/>
        <v>6</v>
      </c>
      <c r="L182" t="b" cm="1">
        <f t="array" ref="L182">BoldFont(H182)</f>
        <v>0</v>
      </c>
      <c r="M182" t="str">
        <f t="shared" si="21"/>
        <v>Orchard Studholme</v>
      </c>
      <c r="N182" t="str">
        <f t="shared" si="23"/>
        <v>Orchard Studholme</v>
      </c>
      <c r="O182" t="str">
        <f t="shared" si="24"/>
        <v>MSQA</v>
      </c>
      <c r="P182" s="4">
        <f t="shared" si="25"/>
        <v>45306</v>
      </c>
      <c r="Q182" s="4">
        <f t="shared" si="26"/>
        <v>45306</v>
      </c>
      <c r="R182" s="5">
        <f t="shared" si="27"/>
        <v>0</v>
      </c>
      <c r="S182" s="5">
        <f t="shared" si="28"/>
        <v>0</v>
      </c>
    </row>
    <row r="183" spans="1:19" ht="30" hidden="1" x14ac:dyDescent="0.25">
      <c r="A183" s="8">
        <v>152527</v>
      </c>
      <c r="B183" s="8" t="s">
        <v>181</v>
      </c>
      <c r="C183" s="8" t="s">
        <v>285</v>
      </c>
      <c r="D183" s="8" t="s">
        <v>182</v>
      </c>
      <c r="E183" s="8" t="s">
        <v>286</v>
      </c>
      <c r="F183" s="9">
        <v>0.36</v>
      </c>
      <c r="G183" s="10">
        <v>186750</v>
      </c>
      <c r="H183" s="10">
        <v>50000</v>
      </c>
      <c r="I183" s="2">
        <f t="shared" si="20"/>
        <v>3</v>
      </c>
      <c r="J183" s="2">
        <f t="shared" si="29"/>
        <v>25</v>
      </c>
      <c r="K183" s="2">
        <f t="shared" si="22"/>
        <v>6</v>
      </c>
      <c r="L183" t="b" cm="1">
        <f t="array" ref="L183">BoldFont(H183)</f>
        <v>1</v>
      </c>
      <c r="M183" t="str">
        <f t="shared" si="21"/>
        <v>Arrowtown Traffic Calming 1</v>
      </c>
      <c r="N183" t="str">
        <f t="shared" si="23"/>
        <v>Orchard Studholme</v>
      </c>
      <c r="O183" t="str">
        <f t="shared" si="24"/>
        <v/>
      </c>
      <c r="P183" s="4">
        <f t="shared" si="25"/>
        <v>45170</v>
      </c>
      <c r="Q183" s="4">
        <f t="shared" si="26"/>
        <v>45344</v>
      </c>
      <c r="R183" s="5">
        <f t="shared" si="27"/>
        <v>186750</v>
      </c>
      <c r="S183" s="5">
        <f t="shared" si="28"/>
        <v>50000</v>
      </c>
    </row>
    <row r="184" spans="1:19" ht="30" x14ac:dyDescent="0.25">
      <c r="A184" s="7"/>
      <c r="B184" s="15" t="s">
        <v>111</v>
      </c>
      <c r="C184" s="11" t="s">
        <v>167</v>
      </c>
      <c r="D184" s="11" t="s">
        <v>182</v>
      </c>
      <c r="E184" s="11" t="s">
        <v>183</v>
      </c>
      <c r="F184" s="12">
        <v>1</v>
      </c>
      <c r="G184" s="14">
        <v>12000</v>
      </c>
      <c r="H184" s="14">
        <v>12000</v>
      </c>
      <c r="I184" s="2">
        <f t="shared" si="20"/>
        <v>6</v>
      </c>
      <c r="J184" s="2">
        <f t="shared" si="29"/>
        <v>25</v>
      </c>
      <c r="K184" s="2">
        <f t="shared" si="22"/>
        <v>6</v>
      </c>
      <c r="L184" t="b" cm="1">
        <f t="array" ref="L184">BoldFont(H184)</f>
        <v>0</v>
      </c>
      <c r="M184" t="str">
        <f t="shared" si="21"/>
        <v>Arrowtown Traffic Calming 1</v>
      </c>
      <c r="N184" t="str">
        <f t="shared" si="23"/>
        <v>Arrowtown Traffic Calming 1</v>
      </c>
      <c r="O184" t="str">
        <f t="shared" si="24"/>
        <v>Concept Design including investigations and consultations where applicable</v>
      </c>
      <c r="P184" s="4">
        <f t="shared" si="25"/>
        <v>45170</v>
      </c>
      <c r="Q184" s="4">
        <f t="shared" si="26"/>
        <v>45190</v>
      </c>
      <c r="R184" s="5">
        <f t="shared" si="27"/>
        <v>12000</v>
      </c>
      <c r="S184" s="5">
        <f t="shared" si="28"/>
        <v>12000</v>
      </c>
    </row>
    <row r="185" spans="1:19" ht="30" x14ac:dyDescent="0.25">
      <c r="A185" s="7"/>
      <c r="B185" s="15" t="s">
        <v>73</v>
      </c>
      <c r="C185" s="11" t="s">
        <v>60</v>
      </c>
      <c r="D185" s="11" t="s">
        <v>184</v>
      </c>
      <c r="E185" s="11" t="s">
        <v>59</v>
      </c>
      <c r="F185" s="12">
        <v>0.75</v>
      </c>
      <c r="G185" s="14">
        <v>3000</v>
      </c>
      <c r="H185" s="14">
        <v>3000</v>
      </c>
      <c r="I185" s="2">
        <f t="shared" si="20"/>
        <v>6</v>
      </c>
      <c r="J185" s="2">
        <f t="shared" si="29"/>
        <v>25</v>
      </c>
      <c r="K185" s="2">
        <f t="shared" si="22"/>
        <v>6</v>
      </c>
      <c r="L185" t="b" cm="1">
        <f t="array" ref="L185">BoldFont(H185)</f>
        <v>0</v>
      </c>
      <c r="M185" t="str">
        <f t="shared" si="21"/>
        <v>Arrowtown Traffic Calming 1</v>
      </c>
      <c r="N185" t="str">
        <f t="shared" si="23"/>
        <v>Arrowtown Traffic Calming 1</v>
      </c>
      <c r="O185" t="str">
        <f t="shared" si="24"/>
        <v>Detailed Design</v>
      </c>
      <c r="P185" s="4">
        <f t="shared" si="25"/>
        <v>45191</v>
      </c>
      <c r="Q185" s="4">
        <f t="shared" si="26"/>
        <v>45260</v>
      </c>
      <c r="R185" s="5">
        <f t="shared" si="27"/>
        <v>3000</v>
      </c>
      <c r="S185" s="5">
        <f t="shared" si="28"/>
        <v>3000</v>
      </c>
    </row>
    <row r="186" spans="1:19" ht="30" x14ac:dyDescent="0.25">
      <c r="A186" s="7"/>
      <c r="B186" s="11" t="s">
        <v>80</v>
      </c>
      <c r="C186" s="11" t="s">
        <v>89</v>
      </c>
      <c r="D186" s="11" t="s">
        <v>218</v>
      </c>
      <c r="E186" s="11" t="s">
        <v>286</v>
      </c>
      <c r="F186" s="12">
        <v>0</v>
      </c>
      <c r="G186" s="14">
        <v>1750</v>
      </c>
      <c r="H186" s="14">
        <v>0</v>
      </c>
      <c r="I186" s="2">
        <f t="shared" si="20"/>
        <v>6</v>
      </c>
      <c r="J186" s="2">
        <f t="shared" si="29"/>
        <v>25</v>
      </c>
      <c r="K186" s="2">
        <f t="shared" si="22"/>
        <v>6</v>
      </c>
      <c r="L186" t="b" cm="1">
        <f t="array" ref="L186">BoldFont(H186)</f>
        <v>0</v>
      </c>
      <c r="M186" t="str">
        <f t="shared" si="21"/>
        <v>Arrowtown Traffic Calming 1</v>
      </c>
      <c r="N186" t="str">
        <f t="shared" si="23"/>
        <v>Arrowtown Traffic Calming 1</v>
      </c>
      <c r="O186" t="str">
        <f t="shared" si="24"/>
        <v>MSQA</v>
      </c>
      <c r="P186" s="4">
        <f t="shared" si="25"/>
        <v>45289</v>
      </c>
      <c r="Q186" s="4">
        <f t="shared" si="26"/>
        <v>45344</v>
      </c>
      <c r="R186" s="5">
        <f t="shared" si="27"/>
        <v>1750</v>
      </c>
      <c r="S186" s="5">
        <f t="shared" si="28"/>
        <v>0</v>
      </c>
    </row>
    <row r="187" spans="1:19" ht="30" x14ac:dyDescent="0.25">
      <c r="A187" s="7"/>
      <c r="B187" s="16" t="s">
        <v>118</v>
      </c>
      <c r="C187" s="11" t="s">
        <v>89</v>
      </c>
      <c r="D187" s="11" t="s">
        <v>218</v>
      </c>
      <c r="E187" s="11" t="s">
        <v>286</v>
      </c>
      <c r="F187" s="12">
        <v>0</v>
      </c>
      <c r="G187" s="14">
        <v>170000</v>
      </c>
      <c r="H187" s="14">
        <v>35000</v>
      </c>
      <c r="I187" s="2">
        <f t="shared" si="20"/>
        <v>6</v>
      </c>
      <c r="J187" s="2">
        <f t="shared" si="29"/>
        <v>25</v>
      </c>
      <c r="K187" s="2">
        <f t="shared" si="22"/>
        <v>6</v>
      </c>
      <c r="L187" t="b" cm="1">
        <f t="array" ref="L187">BoldFont(H187)</f>
        <v>0</v>
      </c>
      <c r="M187" t="str">
        <f t="shared" si="21"/>
        <v>Arrowtown Traffic Calming 1</v>
      </c>
      <c r="N187" t="str">
        <f t="shared" si="23"/>
        <v>Arrowtown Traffic Calming 1</v>
      </c>
      <c r="O187" t="str">
        <f t="shared" si="24"/>
        <v>Construction - Maintenance</v>
      </c>
      <c r="P187" s="4">
        <f t="shared" si="25"/>
        <v>45289</v>
      </c>
      <c r="Q187" s="4">
        <f t="shared" si="26"/>
        <v>45344</v>
      </c>
      <c r="R187" s="5">
        <f t="shared" si="27"/>
        <v>170000</v>
      </c>
      <c r="S187" s="5">
        <f t="shared" si="28"/>
        <v>35000</v>
      </c>
    </row>
    <row r="188" spans="1:19" ht="30" hidden="1" x14ac:dyDescent="0.25">
      <c r="A188" s="8">
        <v>152537</v>
      </c>
      <c r="B188" s="8" t="s">
        <v>186</v>
      </c>
      <c r="C188" s="8" t="s">
        <v>116</v>
      </c>
      <c r="D188" s="8" t="s">
        <v>182</v>
      </c>
      <c r="E188" s="8" t="s">
        <v>182</v>
      </c>
      <c r="F188" s="9">
        <v>0</v>
      </c>
      <c r="G188" s="10">
        <v>46200</v>
      </c>
      <c r="H188" s="10">
        <v>46200</v>
      </c>
      <c r="I188" s="2">
        <f t="shared" si="20"/>
        <v>3</v>
      </c>
      <c r="J188" s="2">
        <f t="shared" si="29"/>
        <v>26</v>
      </c>
      <c r="K188" s="2">
        <f t="shared" si="22"/>
        <v>6</v>
      </c>
      <c r="L188" t="b" cm="1">
        <f t="array" ref="L188">BoldFont(H188)</f>
        <v>1</v>
      </c>
      <c r="M188" t="str">
        <f t="shared" si="21"/>
        <v>Crown Range Speed Management '21</v>
      </c>
      <c r="N188" t="str">
        <f t="shared" si="23"/>
        <v>Arrowtown Traffic Calming 1</v>
      </c>
      <c r="O188" t="str">
        <f t="shared" si="24"/>
        <v/>
      </c>
      <c r="P188" s="4">
        <f t="shared" si="25"/>
        <v>45170</v>
      </c>
      <c r="Q188" s="4">
        <f t="shared" si="26"/>
        <v>45170</v>
      </c>
      <c r="R188" s="5">
        <f t="shared" si="27"/>
        <v>46200</v>
      </c>
      <c r="S188" s="5">
        <f t="shared" si="28"/>
        <v>46200</v>
      </c>
    </row>
    <row r="189" spans="1:19" ht="30" x14ac:dyDescent="0.25">
      <c r="A189" s="7"/>
      <c r="B189" s="15" t="s">
        <v>111</v>
      </c>
      <c r="C189" s="11" t="s">
        <v>116</v>
      </c>
      <c r="D189" s="11" t="s">
        <v>182</v>
      </c>
      <c r="E189" s="11" t="s">
        <v>182</v>
      </c>
      <c r="F189" s="12">
        <v>0</v>
      </c>
      <c r="G189" s="14">
        <v>12000</v>
      </c>
      <c r="H189" s="14">
        <v>12000</v>
      </c>
      <c r="I189" s="2">
        <f t="shared" si="20"/>
        <v>6</v>
      </c>
      <c r="J189" s="2">
        <f t="shared" si="29"/>
        <v>26</v>
      </c>
      <c r="K189" s="2">
        <f t="shared" si="22"/>
        <v>6</v>
      </c>
      <c r="L189" t="b" cm="1">
        <f t="array" ref="L189">BoldFont(H189)</f>
        <v>0</v>
      </c>
      <c r="M189" t="str">
        <f t="shared" si="21"/>
        <v>Crown Range Speed Management '21</v>
      </c>
      <c r="N189" t="str">
        <f t="shared" si="23"/>
        <v>Crown Range Speed Management '21</v>
      </c>
      <c r="O189" t="str">
        <f t="shared" si="24"/>
        <v>Concept Design including investigations and consultations where applicable</v>
      </c>
      <c r="P189" s="4">
        <f t="shared" si="25"/>
        <v>45170</v>
      </c>
      <c r="Q189" s="4">
        <f t="shared" si="26"/>
        <v>45170</v>
      </c>
      <c r="R189" s="5">
        <f t="shared" si="27"/>
        <v>12000</v>
      </c>
      <c r="S189" s="5">
        <f t="shared" si="28"/>
        <v>12000</v>
      </c>
    </row>
    <row r="190" spans="1:19" ht="30" x14ac:dyDescent="0.25">
      <c r="A190" s="7"/>
      <c r="B190" s="15" t="s">
        <v>73</v>
      </c>
      <c r="C190" s="11" t="s">
        <v>46</v>
      </c>
      <c r="D190" s="11" t="s">
        <v>182</v>
      </c>
      <c r="E190" s="11" t="s">
        <v>219</v>
      </c>
      <c r="F190" s="12">
        <v>0</v>
      </c>
      <c r="G190" s="14">
        <v>2772</v>
      </c>
      <c r="H190" s="14">
        <v>2772</v>
      </c>
      <c r="I190" s="2">
        <f t="shared" si="20"/>
        <v>6</v>
      </c>
      <c r="J190" s="2">
        <f t="shared" si="29"/>
        <v>26</v>
      </c>
      <c r="K190" s="2">
        <f t="shared" si="22"/>
        <v>6</v>
      </c>
      <c r="L190" t="b" cm="1">
        <f t="array" ref="L190">BoldFont(H190)</f>
        <v>0</v>
      </c>
      <c r="M190" t="str">
        <f t="shared" si="21"/>
        <v>Crown Range Speed Management '21</v>
      </c>
      <c r="N190" t="str">
        <f t="shared" si="23"/>
        <v>Crown Range Speed Management '21</v>
      </c>
      <c r="O190" t="str">
        <f t="shared" si="24"/>
        <v>Detailed Design</v>
      </c>
      <c r="P190" s="4">
        <f t="shared" si="25"/>
        <v>45170</v>
      </c>
      <c r="Q190" s="4">
        <f t="shared" si="26"/>
        <v>45183</v>
      </c>
      <c r="R190" s="5">
        <f t="shared" si="27"/>
        <v>2772</v>
      </c>
      <c r="S190" s="5">
        <f t="shared" si="28"/>
        <v>2772</v>
      </c>
    </row>
    <row r="191" spans="1:19" ht="30" x14ac:dyDescent="0.25">
      <c r="A191" s="7"/>
      <c r="B191" s="11" t="s">
        <v>80</v>
      </c>
      <c r="C191" s="11" t="s">
        <v>116</v>
      </c>
      <c r="D191" s="11" t="s">
        <v>122</v>
      </c>
      <c r="E191" s="11" t="s">
        <v>122</v>
      </c>
      <c r="F191" s="12">
        <v>0</v>
      </c>
      <c r="G191" s="14">
        <v>1571.4</v>
      </c>
      <c r="H191" s="14">
        <v>0</v>
      </c>
      <c r="I191" s="2">
        <f t="shared" si="20"/>
        <v>6</v>
      </c>
      <c r="J191" s="2">
        <f t="shared" si="29"/>
        <v>26</v>
      </c>
      <c r="K191" s="2">
        <f t="shared" si="22"/>
        <v>6</v>
      </c>
      <c r="L191" t="b" cm="1">
        <f t="array" ref="L191">BoldFont(H191)</f>
        <v>0</v>
      </c>
      <c r="M191" t="str">
        <f t="shared" si="21"/>
        <v>Crown Range Speed Management '21</v>
      </c>
      <c r="N191" t="str">
        <f t="shared" si="23"/>
        <v>Crown Range Speed Management '21</v>
      </c>
      <c r="O191" t="str">
        <f t="shared" si="24"/>
        <v>MSQA</v>
      </c>
      <c r="P191" s="4">
        <f t="shared" si="25"/>
        <v>45296</v>
      </c>
      <c r="Q191" s="4">
        <f t="shared" si="26"/>
        <v>45296</v>
      </c>
      <c r="R191" s="5">
        <f t="shared" si="27"/>
        <v>1571.4</v>
      </c>
      <c r="S191" s="5">
        <f t="shared" si="28"/>
        <v>0</v>
      </c>
    </row>
    <row r="192" spans="1:19" ht="30" x14ac:dyDescent="0.25">
      <c r="A192" s="7"/>
      <c r="B192" s="15" t="s">
        <v>83</v>
      </c>
      <c r="C192" s="11" t="s">
        <v>116</v>
      </c>
      <c r="D192" s="11" t="s">
        <v>122</v>
      </c>
      <c r="E192" s="11" t="s">
        <v>122</v>
      </c>
      <c r="F192" s="12">
        <v>0</v>
      </c>
      <c r="G192" s="14">
        <v>29856.6</v>
      </c>
      <c r="H192" s="14">
        <v>31428</v>
      </c>
      <c r="I192" s="2">
        <f t="shared" si="20"/>
        <v>6</v>
      </c>
      <c r="J192" s="2">
        <f t="shared" si="29"/>
        <v>26</v>
      </c>
      <c r="K192" s="2">
        <f t="shared" si="22"/>
        <v>6</v>
      </c>
      <c r="L192" t="b" cm="1">
        <f t="array" ref="L192">BoldFont(H192)</f>
        <v>0</v>
      </c>
      <c r="M192" t="str">
        <f t="shared" si="21"/>
        <v>Crown Range Speed Management '21</v>
      </c>
      <c r="N192" t="str">
        <f t="shared" si="23"/>
        <v>Crown Range Speed Management '21</v>
      </c>
      <c r="O192" t="str">
        <f t="shared" si="24"/>
        <v>Construction</v>
      </c>
      <c r="P192" s="4">
        <f t="shared" si="25"/>
        <v>45296</v>
      </c>
      <c r="Q192" s="4">
        <f t="shared" si="26"/>
        <v>45296</v>
      </c>
      <c r="R192" s="5">
        <f t="shared" si="27"/>
        <v>29856.6</v>
      </c>
      <c r="S192" s="5">
        <f t="shared" si="28"/>
        <v>31428</v>
      </c>
    </row>
    <row r="193" spans="1:19" ht="30" hidden="1" x14ac:dyDescent="0.25">
      <c r="A193" s="8">
        <v>152537</v>
      </c>
      <c r="B193" s="8" t="s">
        <v>187</v>
      </c>
      <c r="C193" s="8" t="s">
        <v>116</v>
      </c>
      <c r="D193" s="8" t="s">
        <v>182</v>
      </c>
      <c r="E193" s="8" t="s">
        <v>182</v>
      </c>
      <c r="F193" s="9">
        <v>0</v>
      </c>
      <c r="G193" s="10">
        <v>0</v>
      </c>
      <c r="H193" s="10">
        <v>225000</v>
      </c>
      <c r="I193" s="2">
        <f t="shared" si="20"/>
        <v>3</v>
      </c>
      <c r="J193" s="2">
        <f t="shared" si="29"/>
        <v>27</v>
      </c>
      <c r="K193" s="2">
        <f t="shared" si="22"/>
        <v>6</v>
      </c>
      <c r="L193" t="b" cm="1">
        <f t="array" ref="L193">BoldFont(H193)</f>
        <v>1</v>
      </c>
      <c r="M193" t="str">
        <f t="shared" si="21"/>
        <v>Crown Range Speed Management '22</v>
      </c>
      <c r="N193" t="str">
        <f t="shared" si="23"/>
        <v>Crown Range Speed Management '21</v>
      </c>
      <c r="O193" t="str">
        <f t="shared" si="24"/>
        <v/>
      </c>
      <c r="P193" s="4">
        <f t="shared" si="25"/>
        <v>45170</v>
      </c>
      <c r="Q193" s="4">
        <f t="shared" si="26"/>
        <v>45170</v>
      </c>
      <c r="R193" s="5">
        <f t="shared" si="27"/>
        <v>0</v>
      </c>
      <c r="S193" s="5">
        <f t="shared" si="28"/>
        <v>225000</v>
      </c>
    </row>
    <row r="194" spans="1:19" ht="30" x14ac:dyDescent="0.25">
      <c r="A194" s="7"/>
      <c r="B194" s="15" t="s">
        <v>111</v>
      </c>
      <c r="C194" s="11" t="s">
        <v>116</v>
      </c>
      <c r="D194" s="11" t="s">
        <v>182</v>
      </c>
      <c r="E194" s="11" t="s">
        <v>182</v>
      </c>
      <c r="F194" s="12">
        <v>0</v>
      </c>
      <c r="G194" s="14">
        <v>0</v>
      </c>
      <c r="H194" s="14">
        <v>12000</v>
      </c>
      <c r="I194" s="2">
        <f t="shared" si="20"/>
        <v>6</v>
      </c>
      <c r="J194" s="2">
        <f t="shared" si="29"/>
        <v>27</v>
      </c>
      <c r="K194" s="2">
        <f t="shared" si="22"/>
        <v>6</v>
      </c>
      <c r="L194" t="b" cm="1">
        <f t="array" ref="L194">BoldFont(H194)</f>
        <v>0</v>
      </c>
      <c r="M194" t="str">
        <f t="shared" si="21"/>
        <v>Crown Range Speed Management '22</v>
      </c>
      <c r="N194" t="str">
        <f t="shared" si="23"/>
        <v>Crown Range Speed Management '22</v>
      </c>
      <c r="O194" t="str">
        <f t="shared" si="24"/>
        <v>Concept Design including investigations and consultations where applicable</v>
      </c>
      <c r="P194" s="4">
        <f t="shared" si="25"/>
        <v>45170</v>
      </c>
      <c r="Q194" s="4">
        <f t="shared" si="26"/>
        <v>45170</v>
      </c>
      <c r="R194" s="5">
        <f t="shared" si="27"/>
        <v>0</v>
      </c>
      <c r="S194" s="5">
        <f t="shared" si="28"/>
        <v>12000</v>
      </c>
    </row>
    <row r="195" spans="1:19" ht="30" x14ac:dyDescent="0.25">
      <c r="A195" s="7"/>
      <c r="B195" s="15" t="s">
        <v>73</v>
      </c>
      <c r="C195" s="11" t="s">
        <v>46</v>
      </c>
      <c r="D195" s="11" t="s">
        <v>182</v>
      </c>
      <c r="E195" s="11" t="s">
        <v>219</v>
      </c>
      <c r="F195" s="12">
        <v>0</v>
      </c>
      <c r="G195" s="14">
        <v>0</v>
      </c>
      <c r="H195" s="14">
        <v>13500</v>
      </c>
      <c r="I195" s="2">
        <f t="shared" ref="I195:I210" si="30">LEN(B195) - LEN(TRIM(B195))</f>
        <v>6</v>
      </c>
      <c r="J195" s="2">
        <f t="shared" si="29"/>
        <v>27</v>
      </c>
      <c r="K195" s="2">
        <f t="shared" si="22"/>
        <v>6</v>
      </c>
      <c r="L195" t="b" cm="1">
        <f t="array" ref="L195">BoldFont(H195)</f>
        <v>0</v>
      </c>
      <c r="M195" t="str">
        <f t="shared" ref="M195:M210" si="31">IF(I195=3,TRIM(B195),M194)</f>
        <v>Crown Range Speed Management '22</v>
      </c>
      <c r="N195" t="str">
        <f t="shared" si="23"/>
        <v>Crown Range Speed Management '22</v>
      </c>
      <c r="O195" t="str">
        <f t="shared" si="24"/>
        <v>Detailed Design</v>
      </c>
      <c r="P195" s="4">
        <f t="shared" si="25"/>
        <v>45170</v>
      </c>
      <c r="Q195" s="4">
        <f t="shared" si="26"/>
        <v>45183</v>
      </c>
      <c r="R195" s="5">
        <f t="shared" si="27"/>
        <v>0</v>
      </c>
      <c r="S195" s="5">
        <f t="shared" si="28"/>
        <v>13500</v>
      </c>
    </row>
    <row r="196" spans="1:19" ht="30" x14ac:dyDescent="0.25">
      <c r="A196" s="7"/>
      <c r="B196" s="15" t="s">
        <v>195</v>
      </c>
      <c r="C196" s="11" t="s">
        <v>89</v>
      </c>
      <c r="D196" s="11" t="s">
        <v>185</v>
      </c>
      <c r="E196" s="11" t="s">
        <v>220</v>
      </c>
      <c r="F196" s="12">
        <v>0</v>
      </c>
      <c r="G196" s="14">
        <v>0</v>
      </c>
      <c r="H196" s="14">
        <v>199500</v>
      </c>
      <c r="I196" s="2">
        <f t="shared" si="30"/>
        <v>6</v>
      </c>
      <c r="J196" s="2">
        <f t="shared" si="29"/>
        <v>27</v>
      </c>
      <c r="K196" s="2">
        <f t="shared" ref="K196:K210" si="32">_xlfn.MAXIFS($I$3:$I$210,$J$3:$J$210,J196)</f>
        <v>6</v>
      </c>
      <c r="L196" t="b" cm="1">
        <f t="array" ref="L196">BoldFont(H196)</f>
        <v>0</v>
      </c>
      <c r="M196" t="str">
        <f t="shared" si="31"/>
        <v>Crown Range Speed Management '22</v>
      </c>
      <c r="N196" t="str">
        <f t="shared" ref="N196:N210" si="33">IF(I196=6,IF(K196=6, M196,TRIM(B196)),N195)</f>
        <v>Crown Range Speed Management '22</v>
      </c>
      <c r="O196" t="str">
        <f t="shared" ref="O196:O210" si="34">IF(K196=I196,TRIM(B196),"")</f>
        <v>Construction</v>
      </c>
      <c r="P196" s="4">
        <f t="shared" ref="P196:P210" si="35">DATEVALUE(RIGHT(D196,LEN(D196)-4))</f>
        <v>45240</v>
      </c>
      <c r="Q196" s="4">
        <f t="shared" ref="Q196:Q210" si="36">DATEVALUE(RIGHT(E196,LEN(E196)-4))</f>
        <v>45295</v>
      </c>
      <c r="R196" s="5">
        <f t="shared" ref="R196:R210" si="37">G196</f>
        <v>0</v>
      </c>
      <c r="S196" s="5">
        <f t="shared" ref="S196:S210" si="38">H196</f>
        <v>199500</v>
      </c>
    </row>
    <row r="197" spans="1:19" ht="30" x14ac:dyDescent="0.25">
      <c r="A197" s="7"/>
      <c r="B197" s="11" t="s">
        <v>80</v>
      </c>
      <c r="C197" s="11" t="s">
        <v>116</v>
      </c>
      <c r="D197" s="11" t="s">
        <v>122</v>
      </c>
      <c r="E197" s="11" t="s">
        <v>122</v>
      </c>
      <c r="F197" s="12">
        <v>0</v>
      </c>
      <c r="G197" s="14">
        <v>0</v>
      </c>
      <c r="H197" s="14">
        <v>0</v>
      </c>
      <c r="I197" s="2">
        <f t="shared" si="30"/>
        <v>6</v>
      </c>
      <c r="J197" s="2">
        <f t="shared" ref="J197:J210" si="39">IF(I197=3,J196+1,J196)</f>
        <v>27</v>
      </c>
      <c r="K197" s="2">
        <f t="shared" si="32"/>
        <v>6</v>
      </c>
      <c r="L197" t="b" cm="1">
        <f t="array" ref="L197">BoldFont(H197)</f>
        <v>0</v>
      </c>
      <c r="M197" t="str">
        <f t="shared" si="31"/>
        <v>Crown Range Speed Management '22</v>
      </c>
      <c r="N197" t="str">
        <f t="shared" si="33"/>
        <v>Crown Range Speed Management '22</v>
      </c>
      <c r="O197" t="str">
        <f t="shared" si="34"/>
        <v>MSQA</v>
      </c>
      <c r="P197" s="4">
        <f t="shared" si="35"/>
        <v>45296</v>
      </c>
      <c r="Q197" s="4">
        <f t="shared" si="36"/>
        <v>45296</v>
      </c>
      <c r="R197" s="5">
        <f t="shared" si="37"/>
        <v>0</v>
      </c>
      <c r="S197" s="5">
        <f t="shared" si="38"/>
        <v>0</v>
      </c>
    </row>
    <row r="198" spans="1:19" ht="30" hidden="1" x14ac:dyDescent="0.25">
      <c r="A198" s="8">
        <v>152545</v>
      </c>
      <c r="B198" s="8" t="s">
        <v>188</v>
      </c>
      <c r="C198" s="8" t="s">
        <v>116</v>
      </c>
      <c r="D198" s="8" t="s">
        <v>182</v>
      </c>
      <c r="E198" s="8" t="s">
        <v>182</v>
      </c>
      <c r="F198" s="9">
        <v>0</v>
      </c>
      <c r="G198" s="10">
        <v>22700</v>
      </c>
      <c r="H198" s="10">
        <v>22700</v>
      </c>
      <c r="I198" s="2">
        <f t="shared" si="30"/>
        <v>3</v>
      </c>
      <c r="J198" s="2">
        <f t="shared" si="39"/>
        <v>28</v>
      </c>
      <c r="K198" s="2">
        <f t="shared" si="32"/>
        <v>6</v>
      </c>
      <c r="L198" t="b" cm="1">
        <f t="array" ref="L198">BoldFont(H198)</f>
        <v>1</v>
      </c>
      <c r="M198" t="str">
        <f t="shared" si="31"/>
        <v>Malaghans Rd Speed Management 1</v>
      </c>
      <c r="N198" t="str">
        <f t="shared" si="33"/>
        <v>Crown Range Speed Management '22</v>
      </c>
      <c r="O198" t="str">
        <f t="shared" si="34"/>
        <v/>
      </c>
      <c r="P198" s="4">
        <f t="shared" si="35"/>
        <v>45170</v>
      </c>
      <c r="Q198" s="4">
        <f t="shared" si="36"/>
        <v>45170</v>
      </c>
      <c r="R198" s="5">
        <f t="shared" si="37"/>
        <v>22700</v>
      </c>
      <c r="S198" s="5">
        <f t="shared" si="38"/>
        <v>22700</v>
      </c>
    </row>
    <row r="199" spans="1:19" ht="30" x14ac:dyDescent="0.25">
      <c r="A199" s="7"/>
      <c r="B199" s="15" t="s">
        <v>111</v>
      </c>
      <c r="C199" s="11" t="s">
        <v>116</v>
      </c>
      <c r="D199" s="11" t="s">
        <v>182</v>
      </c>
      <c r="E199" s="11" t="s">
        <v>182</v>
      </c>
      <c r="F199" s="12">
        <v>0</v>
      </c>
      <c r="G199" s="14">
        <v>12000</v>
      </c>
      <c r="H199" s="14">
        <v>12000</v>
      </c>
      <c r="I199" s="2">
        <f t="shared" si="30"/>
        <v>6</v>
      </c>
      <c r="J199" s="2">
        <f t="shared" si="39"/>
        <v>28</v>
      </c>
      <c r="K199" s="2">
        <f t="shared" si="32"/>
        <v>6</v>
      </c>
      <c r="L199" t="b" cm="1">
        <f t="array" ref="L199">BoldFont(H199)</f>
        <v>0</v>
      </c>
      <c r="M199" t="str">
        <f t="shared" si="31"/>
        <v>Malaghans Rd Speed Management 1</v>
      </c>
      <c r="N199" t="str">
        <f t="shared" si="33"/>
        <v>Malaghans Rd Speed Management 1</v>
      </c>
      <c r="O199" t="str">
        <f t="shared" si="34"/>
        <v>Concept Design including investigations and consultations where applicable</v>
      </c>
      <c r="P199" s="4">
        <f t="shared" si="35"/>
        <v>45170</v>
      </c>
      <c r="Q199" s="4">
        <f t="shared" si="36"/>
        <v>45170</v>
      </c>
      <c r="R199" s="5">
        <f t="shared" si="37"/>
        <v>12000</v>
      </c>
      <c r="S199" s="5">
        <f t="shared" si="38"/>
        <v>12000</v>
      </c>
    </row>
    <row r="200" spans="1:19" ht="30" x14ac:dyDescent="0.25">
      <c r="A200" s="7"/>
      <c r="B200" s="15" t="s">
        <v>73</v>
      </c>
      <c r="C200" s="11" t="s">
        <v>46</v>
      </c>
      <c r="D200" s="11" t="s">
        <v>182</v>
      </c>
      <c r="E200" s="11" t="s">
        <v>219</v>
      </c>
      <c r="F200" s="12">
        <v>0</v>
      </c>
      <c r="G200" s="14">
        <v>1362</v>
      </c>
      <c r="H200" s="14">
        <v>1362</v>
      </c>
      <c r="I200" s="2">
        <f t="shared" si="30"/>
        <v>6</v>
      </c>
      <c r="J200" s="2">
        <f t="shared" si="39"/>
        <v>28</v>
      </c>
      <c r="K200" s="2">
        <f t="shared" si="32"/>
        <v>6</v>
      </c>
      <c r="L200" t="b" cm="1">
        <f t="array" ref="L200">BoldFont(H200)</f>
        <v>0</v>
      </c>
      <c r="M200" t="str">
        <f t="shared" si="31"/>
        <v>Malaghans Rd Speed Management 1</v>
      </c>
      <c r="N200" t="str">
        <f t="shared" si="33"/>
        <v>Malaghans Rd Speed Management 1</v>
      </c>
      <c r="O200" t="str">
        <f t="shared" si="34"/>
        <v>Detailed Design</v>
      </c>
      <c r="P200" s="4">
        <f t="shared" si="35"/>
        <v>45170</v>
      </c>
      <c r="Q200" s="4">
        <f t="shared" si="36"/>
        <v>45183</v>
      </c>
      <c r="R200" s="5">
        <f t="shared" si="37"/>
        <v>1362</v>
      </c>
      <c r="S200" s="5">
        <f t="shared" si="38"/>
        <v>1362</v>
      </c>
    </row>
    <row r="201" spans="1:19" ht="30" x14ac:dyDescent="0.25">
      <c r="A201" s="7"/>
      <c r="B201" s="15" t="s">
        <v>195</v>
      </c>
      <c r="C201" s="11" t="s">
        <v>89</v>
      </c>
      <c r="D201" s="11" t="s">
        <v>185</v>
      </c>
      <c r="E201" s="11" t="s">
        <v>220</v>
      </c>
      <c r="F201" s="12">
        <v>0</v>
      </c>
      <c r="G201" s="14">
        <v>8871.1</v>
      </c>
      <c r="H201" s="14">
        <v>9338</v>
      </c>
      <c r="I201" s="2">
        <f t="shared" si="30"/>
        <v>6</v>
      </c>
      <c r="J201" s="2">
        <f t="shared" si="39"/>
        <v>28</v>
      </c>
      <c r="K201" s="2">
        <f t="shared" si="32"/>
        <v>6</v>
      </c>
      <c r="L201" t="b" cm="1">
        <f t="array" ref="L201">BoldFont(H201)</f>
        <v>0</v>
      </c>
      <c r="M201" t="str">
        <f t="shared" si="31"/>
        <v>Malaghans Rd Speed Management 1</v>
      </c>
      <c r="N201" t="str">
        <f t="shared" si="33"/>
        <v>Malaghans Rd Speed Management 1</v>
      </c>
      <c r="O201" t="str">
        <f t="shared" si="34"/>
        <v>Construction</v>
      </c>
      <c r="P201" s="4">
        <f t="shared" si="35"/>
        <v>45240</v>
      </c>
      <c r="Q201" s="4">
        <f t="shared" si="36"/>
        <v>45295</v>
      </c>
      <c r="R201" s="5">
        <f t="shared" si="37"/>
        <v>8871.1</v>
      </c>
      <c r="S201" s="5">
        <f t="shared" si="38"/>
        <v>9338</v>
      </c>
    </row>
    <row r="202" spans="1:19" ht="30" x14ac:dyDescent="0.25">
      <c r="A202" s="7"/>
      <c r="B202" s="11" t="s">
        <v>80</v>
      </c>
      <c r="C202" s="11" t="s">
        <v>116</v>
      </c>
      <c r="D202" s="11" t="s">
        <v>122</v>
      </c>
      <c r="E202" s="11" t="s">
        <v>122</v>
      </c>
      <c r="F202" s="12">
        <v>0</v>
      </c>
      <c r="G202" s="14">
        <v>466.9</v>
      </c>
      <c r="H202" s="14">
        <v>0</v>
      </c>
      <c r="I202" s="2">
        <f t="shared" si="30"/>
        <v>6</v>
      </c>
      <c r="J202" s="2">
        <f t="shared" si="39"/>
        <v>28</v>
      </c>
      <c r="K202" s="2">
        <f t="shared" si="32"/>
        <v>6</v>
      </c>
      <c r="L202" t="b" cm="1">
        <f t="array" ref="L202">BoldFont(H202)</f>
        <v>0</v>
      </c>
      <c r="M202" t="str">
        <f t="shared" si="31"/>
        <v>Malaghans Rd Speed Management 1</v>
      </c>
      <c r="N202" t="str">
        <f t="shared" si="33"/>
        <v>Malaghans Rd Speed Management 1</v>
      </c>
      <c r="O202" t="str">
        <f t="shared" si="34"/>
        <v>MSQA</v>
      </c>
      <c r="P202" s="4">
        <f t="shared" si="35"/>
        <v>45296</v>
      </c>
      <c r="Q202" s="4">
        <f t="shared" si="36"/>
        <v>45296</v>
      </c>
      <c r="R202" s="5">
        <f t="shared" si="37"/>
        <v>466.9</v>
      </c>
      <c r="S202" s="5">
        <f t="shared" si="38"/>
        <v>0</v>
      </c>
    </row>
    <row r="203" spans="1:19" ht="30" hidden="1" x14ac:dyDescent="0.25">
      <c r="A203" s="8">
        <v>152540</v>
      </c>
      <c r="B203" s="8" t="s">
        <v>189</v>
      </c>
      <c r="C203" s="8" t="s">
        <v>112</v>
      </c>
      <c r="D203" s="8" t="s">
        <v>139</v>
      </c>
      <c r="E203" s="8" t="s">
        <v>190</v>
      </c>
      <c r="F203" s="9">
        <v>0</v>
      </c>
      <c r="G203" s="10">
        <v>0</v>
      </c>
      <c r="H203" s="10">
        <v>100000</v>
      </c>
      <c r="I203" s="2">
        <f t="shared" si="30"/>
        <v>3</v>
      </c>
      <c r="J203" s="2">
        <f t="shared" si="39"/>
        <v>29</v>
      </c>
      <c r="K203" s="2">
        <f t="shared" si="32"/>
        <v>6</v>
      </c>
      <c r="L203" t="b" cm="1">
        <f t="array" ref="L203">BoldFont(H203)</f>
        <v>1</v>
      </c>
      <c r="M203" t="str">
        <f t="shared" si="31"/>
        <v>Edinburgh Drive SNP</v>
      </c>
      <c r="N203" t="str">
        <f t="shared" si="33"/>
        <v>Malaghans Rd Speed Management 1</v>
      </c>
      <c r="O203" t="str">
        <f t="shared" si="34"/>
        <v/>
      </c>
      <c r="P203" s="4">
        <f t="shared" si="35"/>
        <v>45198</v>
      </c>
      <c r="Q203" s="4">
        <f t="shared" si="36"/>
        <v>45302</v>
      </c>
      <c r="R203" s="5">
        <f t="shared" si="37"/>
        <v>0</v>
      </c>
      <c r="S203" s="5">
        <f t="shared" si="38"/>
        <v>100000</v>
      </c>
    </row>
    <row r="204" spans="1:19" ht="30" x14ac:dyDescent="0.25">
      <c r="A204" s="7"/>
      <c r="B204" s="15" t="s">
        <v>111</v>
      </c>
      <c r="C204" s="11" t="s">
        <v>167</v>
      </c>
      <c r="D204" s="11" t="s">
        <v>139</v>
      </c>
      <c r="E204" s="11" t="s">
        <v>175</v>
      </c>
      <c r="F204" s="12">
        <v>0</v>
      </c>
      <c r="G204" s="14">
        <v>0</v>
      </c>
      <c r="H204" s="14">
        <v>12000</v>
      </c>
      <c r="I204" s="2">
        <f t="shared" si="30"/>
        <v>6</v>
      </c>
      <c r="J204" s="2">
        <f t="shared" si="39"/>
        <v>29</v>
      </c>
      <c r="K204" s="2">
        <f t="shared" si="32"/>
        <v>6</v>
      </c>
      <c r="L204" t="b" cm="1">
        <f t="array" ref="L204">BoldFont(H204)</f>
        <v>0</v>
      </c>
      <c r="M204" t="str">
        <f t="shared" si="31"/>
        <v>Edinburgh Drive SNP</v>
      </c>
      <c r="N204" t="str">
        <f t="shared" si="33"/>
        <v>Edinburgh Drive SNP</v>
      </c>
      <c r="O204" t="str">
        <f t="shared" si="34"/>
        <v>Concept Design including investigations and consultations where applicable</v>
      </c>
      <c r="P204" s="4">
        <f t="shared" si="35"/>
        <v>45198</v>
      </c>
      <c r="Q204" s="4">
        <f t="shared" si="36"/>
        <v>45218</v>
      </c>
      <c r="R204" s="5">
        <f t="shared" si="37"/>
        <v>0</v>
      </c>
      <c r="S204" s="5">
        <f t="shared" si="38"/>
        <v>12000</v>
      </c>
    </row>
    <row r="205" spans="1:19" ht="30" x14ac:dyDescent="0.25">
      <c r="A205" s="7"/>
      <c r="B205" s="15" t="s">
        <v>73</v>
      </c>
      <c r="C205" s="11" t="s">
        <v>37</v>
      </c>
      <c r="D205" s="11" t="s">
        <v>66</v>
      </c>
      <c r="E205" s="11" t="s">
        <v>59</v>
      </c>
      <c r="F205" s="12">
        <v>0</v>
      </c>
      <c r="G205" s="14">
        <v>0</v>
      </c>
      <c r="H205" s="14">
        <v>6000</v>
      </c>
      <c r="I205" s="2">
        <f t="shared" si="30"/>
        <v>6</v>
      </c>
      <c r="J205" s="2">
        <f t="shared" si="39"/>
        <v>29</v>
      </c>
      <c r="K205" s="2">
        <f t="shared" si="32"/>
        <v>6</v>
      </c>
      <c r="L205" t="b" cm="1">
        <f t="array" ref="L205">BoldFont(H205)</f>
        <v>0</v>
      </c>
      <c r="M205" t="str">
        <f t="shared" si="31"/>
        <v>Edinburgh Drive SNP</v>
      </c>
      <c r="N205" t="str">
        <f t="shared" si="33"/>
        <v>Edinburgh Drive SNP</v>
      </c>
      <c r="O205" t="str">
        <f t="shared" si="34"/>
        <v>Detailed Design</v>
      </c>
      <c r="P205" s="4">
        <f t="shared" si="35"/>
        <v>45219</v>
      </c>
      <c r="Q205" s="4">
        <f t="shared" si="36"/>
        <v>45260</v>
      </c>
      <c r="R205" s="5">
        <f t="shared" si="37"/>
        <v>0</v>
      </c>
      <c r="S205" s="5">
        <f t="shared" si="38"/>
        <v>6000</v>
      </c>
    </row>
    <row r="206" spans="1:19" ht="30" x14ac:dyDescent="0.25">
      <c r="A206" s="7"/>
      <c r="B206" s="11" t="s">
        <v>80</v>
      </c>
      <c r="C206" s="11" t="s">
        <v>37</v>
      </c>
      <c r="D206" s="11" t="s">
        <v>17</v>
      </c>
      <c r="E206" s="11" t="s">
        <v>190</v>
      </c>
      <c r="F206" s="12">
        <v>0</v>
      </c>
      <c r="G206" s="14">
        <v>0</v>
      </c>
      <c r="H206" s="14">
        <v>0</v>
      </c>
      <c r="I206" s="2">
        <f t="shared" si="30"/>
        <v>6</v>
      </c>
      <c r="J206" s="2">
        <f t="shared" si="39"/>
        <v>29</v>
      </c>
      <c r="K206" s="2">
        <f t="shared" si="32"/>
        <v>6</v>
      </c>
      <c r="L206" t="b" cm="1">
        <f t="array" ref="L206">BoldFont(H206)</f>
        <v>0</v>
      </c>
      <c r="M206" t="str">
        <f t="shared" si="31"/>
        <v>Edinburgh Drive SNP</v>
      </c>
      <c r="N206" t="str">
        <f t="shared" si="33"/>
        <v>Edinburgh Drive SNP</v>
      </c>
      <c r="O206" t="str">
        <f t="shared" si="34"/>
        <v>MSQA</v>
      </c>
      <c r="P206" s="4">
        <f t="shared" si="35"/>
        <v>45261</v>
      </c>
      <c r="Q206" s="4">
        <f t="shared" si="36"/>
        <v>45302</v>
      </c>
      <c r="R206" s="5">
        <f t="shared" si="37"/>
        <v>0</v>
      </c>
      <c r="S206" s="5">
        <f t="shared" si="38"/>
        <v>0</v>
      </c>
    </row>
    <row r="207" spans="1:19" ht="30" x14ac:dyDescent="0.25">
      <c r="A207" s="7"/>
      <c r="B207" s="16" t="s">
        <v>118</v>
      </c>
      <c r="C207" s="11" t="s">
        <v>37</v>
      </c>
      <c r="D207" s="11" t="s">
        <v>17</v>
      </c>
      <c r="E207" s="11" t="s">
        <v>190</v>
      </c>
      <c r="F207" s="12">
        <v>0</v>
      </c>
      <c r="G207" s="14">
        <v>0</v>
      </c>
      <c r="H207" s="14">
        <v>82000</v>
      </c>
      <c r="I207" s="2">
        <f t="shared" si="30"/>
        <v>6</v>
      </c>
      <c r="J207" s="2">
        <f t="shared" si="39"/>
        <v>29</v>
      </c>
      <c r="K207" s="2">
        <f t="shared" si="32"/>
        <v>6</v>
      </c>
      <c r="L207" t="b" cm="1">
        <f t="array" ref="L207">BoldFont(H207)</f>
        <v>0</v>
      </c>
      <c r="M207" t="str">
        <f t="shared" si="31"/>
        <v>Edinburgh Drive SNP</v>
      </c>
      <c r="N207" t="str">
        <f t="shared" si="33"/>
        <v>Edinburgh Drive SNP</v>
      </c>
      <c r="O207" t="str">
        <f t="shared" si="34"/>
        <v>Construction - Maintenance</v>
      </c>
      <c r="P207" s="4">
        <f t="shared" si="35"/>
        <v>45261</v>
      </c>
      <c r="Q207" s="4">
        <f t="shared" si="36"/>
        <v>45302</v>
      </c>
      <c r="R207" s="5">
        <f t="shared" si="37"/>
        <v>0</v>
      </c>
      <c r="S207" s="5">
        <f t="shared" si="38"/>
        <v>82000</v>
      </c>
    </row>
    <row r="208" spans="1:19" ht="30" x14ac:dyDescent="0.25">
      <c r="A208" s="7"/>
      <c r="B208" s="15" t="s">
        <v>73</v>
      </c>
      <c r="C208" s="11" t="s">
        <v>37</v>
      </c>
      <c r="D208" s="11" t="s">
        <v>66</v>
      </c>
      <c r="E208" s="11" t="s">
        <v>59</v>
      </c>
      <c r="F208" s="12">
        <v>0</v>
      </c>
      <c r="G208" s="13">
        <v>6000</v>
      </c>
      <c r="H208" s="14">
        <v>6000</v>
      </c>
      <c r="I208" s="2">
        <f t="shared" si="30"/>
        <v>6</v>
      </c>
      <c r="J208" s="2">
        <f t="shared" si="39"/>
        <v>29</v>
      </c>
      <c r="K208" s="2">
        <f t="shared" si="32"/>
        <v>6</v>
      </c>
      <c r="L208" t="b" cm="1">
        <f t="array" ref="L208">BoldFont(H208)</f>
        <v>0</v>
      </c>
      <c r="M208" t="str">
        <f t="shared" si="31"/>
        <v>Edinburgh Drive SNP</v>
      </c>
      <c r="N208" t="str">
        <f t="shared" si="33"/>
        <v>Edinburgh Drive SNP</v>
      </c>
      <c r="O208" t="str">
        <f t="shared" si="34"/>
        <v>Detailed Design</v>
      </c>
      <c r="P208" s="4">
        <f t="shared" si="35"/>
        <v>45219</v>
      </c>
      <c r="Q208" s="4">
        <f t="shared" si="36"/>
        <v>45260</v>
      </c>
      <c r="R208" s="5">
        <f t="shared" si="37"/>
        <v>6000</v>
      </c>
      <c r="S208" s="5">
        <f t="shared" si="38"/>
        <v>6000</v>
      </c>
    </row>
    <row r="209" spans="1:19" ht="30" x14ac:dyDescent="0.25">
      <c r="A209" s="7"/>
      <c r="B209" s="11" t="s">
        <v>80</v>
      </c>
      <c r="C209" s="11" t="s">
        <v>37</v>
      </c>
      <c r="D209" s="11" t="s">
        <v>17</v>
      </c>
      <c r="E209" s="11" t="s">
        <v>190</v>
      </c>
      <c r="F209" s="12">
        <v>0</v>
      </c>
      <c r="G209" s="13">
        <v>4100</v>
      </c>
      <c r="H209" s="14">
        <v>0</v>
      </c>
      <c r="I209" s="2">
        <f t="shared" si="30"/>
        <v>6</v>
      </c>
      <c r="J209" s="2">
        <f t="shared" si="39"/>
        <v>29</v>
      </c>
      <c r="K209" s="2">
        <f t="shared" si="32"/>
        <v>6</v>
      </c>
      <c r="L209" t="b" cm="1">
        <f t="array" ref="L209">BoldFont(H209)</f>
        <v>0</v>
      </c>
      <c r="M209" t="str">
        <f t="shared" si="31"/>
        <v>Edinburgh Drive SNP</v>
      </c>
      <c r="N209" t="str">
        <f t="shared" si="33"/>
        <v>Edinburgh Drive SNP</v>
      </c>
      <c r="O209" t="str">
        <f t="shared" si="34"/>
        <v>MSQA</v>
      </c>
      <c r="P209" s="4">
        <f t="shared" si="35"/>
        <v>45261</v>
      </c>
      <c r="Q209" s="4">
        <f t="shared" si="36"/>
        <v>45302</v>
      </c>
      <c r="R209" s="5">
        <f t="shared" si="37"/>
        <v>4100</v>
      </c>
      <c r="S209" s="5">
        <f t="shared" si="38"/>
        <v>0</v>
      </c>
    </row>
    <row r="210" spans="1:19" ht="30" x14ac:dyDescent="0.25">
      <c r="A210" s="7"/>
      <c r="B210" s="16" t="s">
        <v>118</v>
      </c>
      <c r="C210" s="11" t="s">
        <v>37</v>
      </c>
      <c r="D210" s="11" t="s">
        <v>17</v>
      </c>
      <c r="E210" s="11" t="s">
        <v>190</v>
      </c>
      <c r="F210" s="12">
        <v>0</v>
      </c>
      <c r="G210" s="13">
        <v>77900</v>
      </c>
      <c r="H210" s="14">
        <v>82000</v>
      </c>
      <c r="I210" s="2">
        <f t="shared" si="30"/>
        <v>6</v>
      </c>
      <c r="J210" s="2">
        <f t="shared" si="39"/>
        <v>29</v>
      </c>
      <c r="K210" s="2">
        <f t="shared" si="32"/>
        <v>6</v>
      </c>
      <c r="L210" t="b" cm="1">
        <f t="array" ref="L210">BoldFont(H210)</f>
        <v>0</v>
      </c>
      <c r="M210" t="str">
        <f t="shared" si="31"/>
        <v>Edinburgh Drive SNP</v>
      </c>
      <c r="N210" t="str">
        <f t="shared" si="33"/>
        <v>Edinburgh Drive SNP</v>
      </c>
      <c r="O210" t="str">
        <f t="shared" si="34"/>
        <v>Construction - Maintenance</v>
      </c>
      <c r="P210" s="4">
        <f t="shared" si="35"/>
        <v>45261</v>
      </c>
      <c r="Q210" s="4">
        <f t="shared" si="36"/>
        <v>45302</v>
      </c>
      <c r="R210" s="5">
        <f t="shared" si="37"/>
        <v>77900</v>
      </c>
      <c r="S210" s="5">
        <f t="shared" si="38"/>
        <v>82000</v>
      </c>
    </row>
  </sheetData>
  <autoFilter ref="A2:S210" xr:uid="{E2BCBAA1-10B0-487C-9124-21F9C29072D3}">
    <filterColumn colId="11">
      <filters>
        <filter val="FALSE"/>
      </filters>
    </filterColumn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9D1A4-E2E3-4592-BD9B-5EBBCAF28D46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54E0F-198B-437B-B6A0-25F1FC70A88C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Sheet4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Banks, Iain</dc:creator>
  <cp:lastModifiedBy>Hill, Peter</cp:lastModifiedBy>
  <dcterms:created xsi:type="dcterms:W3CDTF">2023-02-16T23:43:52Z</dcterms:created>
  <dcterms:modified xsi:type="dcterms:W3CDTF">2023-11-16T20:10:55Z</dcterms:modified>
</cp:coreProperties>
</file>